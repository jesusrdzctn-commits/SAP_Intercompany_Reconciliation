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1113276\Documents\Intercompañias\src\Input\Clientes\"/>
    </mc:Choice>
  </mc:AlternateContent>
  <xr:revisionPtr revIDLastSave="0" documentId="13_ncr:1_{3895DEE2-A0B5-4F8A-B4A8-D79DFC241574}" xr6:coauthVersionLast="47" xr6:coauthVersionMax="47" xr10:uidLastSave="{00000000-0000-0000-0000-000000000000}"/>
  <bookViews>
    <workbookView xWindow="-38510" yWindow="-10820" windowWidth="38620" windowHeight="21100" xr2:uid="{C22DF1AA-536F-40E1-82DB-364464474590}"/>
  </bookViews>
  <sheets>
    <sheet name="FBL5N" sheetId="1" r:id="rId1"/>
  </sheets>
  <externalReferences>
    <externalReference r:id="rId2"/>
  </externalReferences>
  <definedNames>
    <definedName name="_xlnm._FilterDatabase" localSheetId="0" hidden="1">FBL5N!$B$1:$O$281</definedName>
    <definedName name="ADMIN_CAT">#REF!</definedName>
    <definedName name="CATALOGCOLUMN141">#REF!</definedName>
    <definedName name="CATALOGCOLUMNFILTERED108">#REF!</definedName>
    <definedName name="CATALOGCOLUMNFILTERED11">#REF!</definedName>
    <definedName name="CATALOGCOLUMNFILTERED12">#REF!</definedName>
    <definedName name="CATALOGCOLUMNFILTERED13">#REF!</definedName>
    <definedName name="CATALOGCOLUMNFILTERED143">#REF!</definedName>
    <definedName name="CATALOGCOLUMNFILTERED144">#REF!</definedName>
    <definedName name="CATALOGCOLUMNFILTERED145">#REF!</definedName>
    <definedName name="CATALOGCOLUMNFILTERED146">#REF!</definedName>
    <definedName name="CATALOGCOLUMNFILTERED148">#REF!</definedName>
    <definedName name="CATALOGCOLUMNFILTERED150">#REF!</definedName>
    <definedName name="CATALOGCOLUMNFILTERED154">#REF!</definedName>
    <definedName name="CATALOGCOLUMNFILTERED155">#REF!</definedName>
    <definedName name="CATALOGCOLUMNFILTERED157">#REF!</definedName>
    <definedName name="CATALOGCOLUMNFILTERED158">#REF!</definedName>
    <definedName name="CATALOGCOLUMNFILTERED16">#REF!</definedName>
    <definedName name="CATALOGCOLUMNFILTERED160">#REF!</definedName>
    <definedName name="CATALOGCOLUMNFILTERED161">#REF!</definedName>
    <definedName name="CATALOGCOLUMNFILTERED163">#REF!</definedName>
    <definedName name="CATALOGCOLUMNFILTERED168">#REF!</definedName>
    <definedName name="CATALOGCOLUMNFILTERED169">#REF!</definedName>
    <definedName name="CATALOGCOLUMNFILTERED170">#REF!</definedName>
    <definedName name="CATALOGCOLUMNFILTERED171">#REF!</definedName>
    <definedName name="CATALOGCOLUMNFILTERED36">#REF!</definedName>
    <definedName name="CATALOGCOLUMNFILTERED39">#REF!</definedName>
    <definedName name="CATALOGCOLUMNFILTERED40">#REF!</definedName>
    <definedName name="CATALOGCOLUMNFILTERED42">#REF!</definedName>
    <definedName name="CATALOGCOLUMNFILTERED43">#REF!</definedName>
    <definedName name="CATALOGCOLUMNFILTERED44">#REF!</definedName>
    <definedName name="CATALOGCOLUMNFILTERED45">#REF!</definedName>
    <definedName name="CATALOGCOLUMNFILTERED46">#REF!</definedName>
    <definedName name="CATALOGCOLUMNFILTERED54">#REF!</definedName>
    <definedName name="CATALOGCOLUMNFILTERED6">#REF!</definedName>
    <definedName name="CATALOGCOLUMNFILTERED7">#REF!</definedName>
    <definedName name="CATALOGCOLUMNFILTERED9">#REF!</definedName>
    <definedName name="SECTOR_CAT">#REF!</definedName>
    <definedName name="SEDE_GRANDES">#REF!</definedName>
    <definedName name="SEDE_HIDROCARBUR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9" i="1" l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Juarez, Veronica {PEP}</author>
  </authors>
  <commentList>
    <comment ref="J1" authorId="0" shapeId="0" xr:uid="{44AEAD4F-43FC-4BE9-83CD-E4E3195E5F00}">
      <text>
        <r>
          <rPr>
            <b/>
            <sz val="9"/>
            <color indexed="81"/>
            <rFont val="Tahoma"/>
            <charset val="1"/>
          </rPr>
          <t>Juarez, Veronica {PEP}:</t>
        </r>
        <r>
          <rPr>
            <sz val="9"/>
            <color indexed="81"/>
            <rFont val="Tahoma"/>
            <charset val="1"/>
          </rPr>
          <t xml:space="preserve">
vamos a ocupar este dato para ir a buscar los registros en P&amp;L = GASTO/INGRESO
CUENTAS 400000 -799999</t>
        </r>
      </text>
    </comment>
  </commentList>
</comments>
</file>

<file path=xl/sharedStrings.xml><?xml version="1.0" encoding="utf-8"?>
<sst xmlns="http://schemas.openxmlformats.org/spreadsheetml/2006/main" count="1695" uniqueCount="170">
  <si>
    <t>Ejercicio / mes</t>
  </si>
  <si>
    <t>Cuenta</t>
  </si>
  <si>
    <t>Nombre</t>
  </si>
  <si>
    <t>Sociedad</t>
  </si>
  <si>
    <t>Fecha de documento</t>
  </si>
  <si>
    <t>Fe.contabilización</t>
  </si>
  <si>
    <t>Importe en moneda doc.</t>
  </si>
  <si>
    <t>Referencia</t>
  </si>
  <si>
    <t>Asignación</t>
  </si>
  <si>
    <t>Importe en moneda local</t>
  </si>
  <si>
    <t>Texto</t>
  </si>
  <si>
    <t>Clase de documento</t>
  </si>
  <si>
    <t>Demora tras vencimiento neto</t>
  </si>
  <si>
    <t>2025/01</t>
  </si>
  <si>
    <t>MX73</t>
  </si>
  <si>
    <t>MX73-INT0125</t>
  </si>
  <si>
    <t>INTERESES ENERO 2025</t>
  </si>
  <si>
    <t>DG</t>
  </si>
  <si>
    <t>DA</t>
  </si>
  <si>
    <t>MX73-INT 0125</t>
  </si>
  <si>
    <t>RECLASIFICACIÓN INTERES ENERO</t>
  </si>
  <si>
    <t>DR</t>
  </si>
  <si>
    <t>MX73-CAP 1224</t>
  </si>
  <si>
    <t>RECLASIFICACIÓN CAPITAL ENERO</t>
  </si>
  <si>
    <t/>
  </si>
  <si>
    <t>ABIM-01752</t>
  </si>
  <si>
    <t>Cobro factura</t>
  </si>
  <si>
    <t>DZ</t>
  </si>
  <si>
    <t>ABIM-01750</t>
  </si>
  <si>
    <t>ABIM-01748</t>
  </si>
  <si>
    <t>ABIM-01749</t>
  </si>
  <si>
    <t>AB</t>
  </si>
  <si>
    <t>ABIM-01775</t>
  </si>
  <si>
    <t>Arrendamiento inmueble Paraje "La Lomita" Av de</t>
  </si>
  <si>
    <t>ABIM-01774</t>
  </si>
  <si>
    <t>Arrendamiento inmueble ubicado en Poniente 122-647</t>
  </si>
  <si>
    <t>ABIM-01776</t>
  </si>
  <si>
    <t>Arrendamiento inmueble ubicado en Poniente 116 No.</t>
  </si>
  <si>
    <t>ABIM-01778</t>
  </si>
  <si>
    <t>Arrendam Frc A LT1 y Frc LT16 MZ33, Frc Ind.</t>
  </si>
  <si>
    <t>ABIM-01751</t>
  </si>
  <si>
    <t>ABIM-01777</t>
  </si>
  <si>
    <t>Arrendamiento inm. LT Parcela 2 Z-1 P1/2 Fracc.</t>
  </si>
  <si>
    <t>2025/02</t>
  </si>
  <si>
    <t>MX32-INT 0225</t>
  </si>
  <si>
    <t>RECLASIFICACIÓN INTERESES FEBRERO</t>
  </si>
  <si>
    <t>MX73-INT 0225</t>
  </si>
  <si>
    <t>MX73-INT0225</t>
  </si>
  <si>
    <t>INTERESES FEBRERO 2025</t>
  </si>
  <si>
    <t>MX73-CAP 0225</t>
  </si>
  <si>
    <t>RECLASIFICACIÓN CAPITAL FEBRERO</t>
  </si>
  <si>
    <t>ABIM-01801</t>
  </si>
  <si>
    <t>ABIM-01800</t>
  </si>
  <si>
    <t>ABIM-01802</t>
  </si>
  <si>
    <t>ABIM-01804</t>
  </si>
  <si>
    <t>ABIM-01803</t>
  </si>
  <si>
    <t>2025/03</t>
  </si>
  <si>
    <t>MX73-CAP 0325</t>
  </si>
  <si>
    <t>Reclasificacion Capital Marzo 2025</t>
  </si>
  <si>
    <t>MX73-INT 0325</t>
  </si>
  <si>
    <t>Reclasificacion Interes Marzo 2025</t>
  </si>
  <si>
    <t>MX73-INT0325</t>
  </si>
  <si>
    <t>INTERESES MARZO 2025</t>
  </si>
  <si>
    <t>ABIM-01827</t>
  </si>
  <si>
    <t>ABIM-01826</t>
  </si>
  <si>
    <t>ABIM-01828</t>
  </si>
  <si>
    <t>ABIM-01830</t>
  </si>
  <si>
    <t>ABIM-01829</t>
  </si>
  <si>
    <t>ABIM-01834</t>
  </si>
  <si>
    <t>Arrendamiento inmueble en Poniente 116 No.553,</t>
  </si>
  <si>
    <t>2025/04</t>
  </si>
  <si>
    <t>MX73-INT 0425</t>
  </si>
  <si>
    <t>INTERESES ABRIL 2025</t>
  </si>
  <si>
    <t>Reclasificacion Interes Abril 2025</t>
  </si>
  <si>
    <t>MX73-CAP 0425</t>
  </si>
  <si>
    <t>Reclasificacion Capital Abril 2025</t>
  </si>
  <si>
    <t>MX73-INT0425</t>
  </si>
  <si>
    <t>MX73-00448</t>
  </si>
  <si>
    <t>MX73-00449</t>
  </si>
  <si>
    <t>RECUPERACIÓN GASTOS AGUA ABC</t>
  </si>
  <si>
    <t>ABIM-01853</t>
  </si>
  <si>
    <t>ABIM-01852</t>
  </si>
  <si>
    <t>ABIM-01854</t>
  </si>
  <si>
    <t>ABIM-01856</t>
  </si>
  <si>
    <t>ABIM-01855</t>
  </si>
  <si>
    <t>ABIM-01860</t>
  </si>
  <si>
    <t>2025/05</t>
  </si>
  <si>
    <t>MX73-INT0525-2</t>
  </si>
  <si>
    <t>INTERESES MAYO 2025 DOC ADICIONAL</t>
  </si>
  <si>
    <t>ZL</t>
  </si>
  <si>
    <t>ZQ</t>
  </si>
  <si>
    <t>RECLASIFICACIÓN INTERESES MAYO</t>
  </si>
  <si>
    <t>MX73-INT0525</t>
  </si>
  <si>
    <t>INTERESES MAYO 2025</t>
  </si>
  <si>
    <t>MX73-CAP 0525</t>
  </si>
  <si>
    <t>RECLASIFICACIÓN CAPITAL MAYO</t>
  </si>
  <si>
    <t>ABIM-01880</t>
  </si>
  <si>
    <t>ABIM-01879</t>
  </si>
  <si>
    <t>ABIM-01881</t>
  </si>
  <si>
    <t>ABIM-01883</t>
  </si>
  <si>
    <t>ABIM-01882</t>
  </si>
  <si>
    <t>ABIM-01887</t>
  </si>
  <si>
    <t>2025/06</t>
  </si>
  <si>
    <t>MX73-INT 0625</t>
  </si>
  <si>
    <t>RECLAS INTERESES JUNIO 2025</t>
  </si>
  <si>
    <t>MX73-INT0625</t>
  </si>
  <si>
    <t>INTERESES JUNIO 2025</t>
  </si>
  <si>
    <t>MX73-CAP 0625</t>
  </si>
  <si>
    <t>Reclasificacion Capital Junio  2025</t>
  </si>
  <si>
    <t>ABIM-01907</t>
  </si>
  <si>
    <t>ABIM-01906</t>
  </si>
  <si>
    <t>ABIM-01908</t>
  </si>
  <si>
    <t>ABIM-01910</t>
  </si>
  <si>
    <t>ABIM-01909</t>
  </si>
  <si>
    <t>ABIM-01914</t>
  </si>
  <si>
    <t>2025/07</t>
  </si>
  <si>
    <t>MX73-INT 0725</t>
  </si>
  <si>
    <t>INTERESES JULIO 2025</t>
  </si>
  <si>
    <t>MX73-INT0725</t>
  </si>
  <si>
    <t>MX73-CAP 0725</t>
  </si>
  <si>
    <t>Reclasificacion Capital Julio 2025</t>
  </si>
  <si>
    <t>MX73-00450</t>
  </si>
  <si>
    <t>MX73-00451</t>
  </si>
  <si>
    <t>RECUPERACION GASTOS AGUA ABC</t>
  </si>
  <si>
    <t>ABIM-01934</t>
  </si>
  <si>
    <t>ABIM-01933</t>
  </si>
  <si>
    <t>ABIM-01935</t>
  </si>
  <si>
    <t>ABIM-01937</t>
  </si>
  <si>
    <t>ABIM-01936</t>
  </si>
  <si>
    <t>ABIM-01941</t>
  </si>
  <si>
    <t>2025/08</t>
  </si>
  <si>
    <t>MX73-INT 0825</t>
  </si>
  <si>
    <t>Reclasificacion Intereses Agosto 2025</t>
  </si>
  <si>
    <t>MX73-INT0825</t>
  </si>
  <si>
    <t>INTERESES AGOSTO 2025</t>
  </si>
  <si>
    <t>MX73-CAP 0825</t>
  </si>
  <si>
    <t>Reclasificacion Capital Agosto 2025</t>
  </si>
  <si>
    <t>ABIM-01961</t>
  </si>
  <si>
    <t>ABIM-01960</t>
  </si>
  <si>
    <t>ABIM-01962</t>
  </si>
  <si>
    <t>ABIM-01964</t>
  </si>
  <si>
    <t>ABIM-01963</t>
  </si>
  <si>
    <t>ABIM-01968</t>
  </si>
  <si>
    <t>2025/09</t>
  </si>
  <si>
    <t>MX73-CAP 0925</t>
  </si>
  <si>
    <t>MX73-INT 0925</t>
  </si>
  <si>
    <t>Reclasificacion Intereses Sep 2025</t>
  </si>
  <si>
    <t>MX73-INT0925</t>
  </si>
  <si>
    <t>INTERESES SEPTIEMBRE 2025</t>
  </si>
  <si>
    <t>Reclasificacion Capital Sep 2025</t>
  </si>
  <si>
    <t>ABIM-01988</t>
  </si>
  <si>
    <t>ABIM-01987</t>
  </si>
  <si>
    <t>ABIM-01989</t>
  </si>
  <si>
    <t>ABIM-01991</t>
  </si>
  <si>
    <t>ABIM-01990</t>
  </si>
  <si>
    <t>ABIM-01995</t>
  </si>
  <si>
    <t>2025/10</t>
  </si>
  <si>
    <t>MX73-CAP 1025</t>
  </si>
  <si>
    <t>Reclasificacion Capital Oct 2025</t>
  </si>
  <si>
    <t>MX73-INT 1025</t>
  </si>
  <si>
    <t>Reclasificacion Intereses Oct 2025</t>
  </si>
  <si>
    <t>MX73-INT1025</t>
  </si>
  <si>
    <t>INTERESES OCTUBRE 2025</t>
  </si>
  <si>
    <t>ABIM-02015</t>
  </si>
  <si>
    <t>ABIM-02014</t>
  </si>
  <si>
    <t>ABIM-02016</t>
  </si>
  <si>
    <t>ABIM-02018</t>
  </si>
  <si>
    <t>ABIM-02017</t>
  </si>
  <si>
    <t>ABIM-02022</t>
  </si>
  <si>
    <t>N°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</si>
</sst>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2" borderId="0" xfId="0" applyFill="1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113276\Downloads\Inmobiliaria%20MX73%20Intercompa&#241;ias%20FINAL.xlsx" TargetMode="External"/><Relationship Id="rId1" Type="http://schemas.openxmlformats.org/officeDocument/2006/relationships/externalLinkPath" Target="/Users/81113276/Downloads/Inmobiliaria%20MX73%20Intercompa&#241;ias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FBL5N"/>
      <sheetName val="Sheet4"/>
      <sheetName val="CLIENTES "/>
      <sheetName val="FBL3N"/>
      <sheetName val="Sheet8"/>
      <sheetName val="Sheet7"/>
      <sheetName val="Ingresos 2025"/>
      <sheetName val="Sheet2"/>
      <sheetName val="APARTADO 15 - SIPRED"/>
      <sheetName val="Sheet6"/>
      <sheetName val="Cat Proveedores"/>
      <sheetName val="FBL1N"/>
      <sheetName val="FBL3N Proveedores"/>
      <sheetName val="Sheet11"/>
      <sheetName val="Proveedores 2025"/>
      <sheetName val="Matriz 2025"/>
      <sheetName val="F.01"/>
    </sheetNames>
    <sheetDataSet>
      <sheetData sheetId="0"/>
      <sheetData sheetId="1"/>
      <sheetData sheetId="2"/>
      <sheetData sheetId="3">
        <row r="1">
          <cell r="C1" t="str">
            <v>Contenido 1</v>
          </cell>
          <cell r="D1" t="str">
            <v>Den. 4</v>
          </cell>
        </row>
        <row r="3">
          <cell r="C3" t="str">
            <v>numero</v>
          </cell>
          <cell r="D3" t="str">
            <v>nombre</v>
          </cell>
        </row>
        <row r="4">
          <cell r="C4">
            <v>200077</v>
          </cell>
          <cell r="D4" t="str">
            <v>CORPORATIVO INTERNACIONAL MEXICANO</v>
          </cell>
        </row>
        <row r="5">
          <cell r="C5">
            <v>200093</v>
          </cell>
          <cell r="D5" t="str">
            <v>SABRITAS</v>
          </cell>
        </row>
        <row r="6">
          <cell r="C6">
            <v>200097</v>
          </cell>
          <cell r="D6" t="str">
            <v>PEPSICO INTERNACIONAL MEXICO</v>
          </cell>
        </row>
        <row r="7">
          <cell r="C7">
            <v>200841</v>
          </cell>
          <cell r="D7" t="str">
            <v>COMERCIALIZADORA PEPSICO MEXICO</v>
          </cell>
        </row>
        <row r="8">
          <cell r="C8">
            <v>200842</v>
          </cell>
          <cell r="D8" t="str">
            <v>CONFITERIA ALEGRO</v>
          </cell>
        </row>
        <row r="9">
          <cell r="C9">
            <v>201271</v>
          </cell>
          <cell r="D9" t="str">
            <v>PEPSICO STRAUSS FRESH DIPS &amp;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6E08-E2B5-4065-A34B-30ED00B3FF1B}">
  <dimension ref="A1:O281"/>
  <sheetViews>
    <sheetView tabSelected="1" zoomScale="175" zoomScaleNormal="175" workbookViewId="0">
      <selection activeCell="F9" sqref="F9"/>
    </sheetView>
  </sheetViews>
  <sheetFormatPr defaultRowHeight="14.4" x14ac:dyDescent="0.3"/>
  <cols>
    <col min="1" max="1" width="12.44140625" style="3" bestFit="1" customWidth="1"/>
    <col min="2" max="2" width="12.5546875" bestFit="1" customWidth="1"/>
    <col min="3" max="3" width="14.88671875" customWidth="1"/>
    <col min="4" max="4" width="29.44140625" customWidth="1"/>
    <col min="5" max="5" width="9.88671875" customWidth="1"/>
    <col min="6" max="6" width="17.88671875" bestFit="1" customWidth="1"/>
    <col min="7" max="7" width="15.6640625" bestFit="1" customWidth="1"/>
    <col min="8" max="8" width="20.44140625" bestFit="1" customWidth="1"/>
    <col min="9" max="9" width="14.33203125" bestFit="1" customWidth="1"/>
    <col min="10" max="10" width="12.44140625" bestFit="1" customWidth="1"/>
    <col min="11" max="11" width="14.33203125" bestFit="1" customWidth="1"/>
    <col min="12" max="12" width="20.88671875" bestFit="1" customWidth="1"/>
    <col min="13" max="13" width="45.109375" bestFit="1" customWidth="1"/>
    <col min="14" max="14" width="17.5546875" bestFit="1" customWidth="1"/>
    <col min="15" max="15" width="25.44140625" bestFit="1" customWidth="1"/>
  </cols>
  <sheetData>
    <row r="1" spans="1:15" s="2" customFormat="1" x14ac:dyDescent="0.3">
      <c r="A1" s="1" t="s">
        <v>169</v>
      </c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169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3">
      <c r="A2" s="3">
        <v>1600000000</v>
      </c>
      <c r="B2" t="s">
        <v>13</v>
      </c>
      <c r="C2">
        <v>200077</v>
      </c>
      <c r="D2" t="str">
        <f>VLOOKUP(C2,'[1]CLIENTES '!C:D,2,FALSE)</f>
        <v>CORPORATIVO INTERNACIONAL MEXICANO</v>
      </c>
      <c r="E2" t="s">
        <v>14</v>
      </c>
      <c r="F2" s="4">
        <v>45688</v>
      </c>
      <c r="G2" s="4">
        <v>45688</v>
      </c>
      <c r="H2" s="5">
        <v>-3236375.38</v>
      </c>
      <c r="I2" t="s">
        <v>15</v>
      </c>
      <c r="J2">
        <v>1600000000</v>
      </c>
      <c r="K2" t="s">
        <v>15</v>
      </c>
      <c r="L2" s="5">
        <v>-3236375.38</v>
      </c>
      <c r="M2" t="s">
        <v>16</v>
      </c>
      <c r="N2" t="s">
        <v>17</v>
      </c>
      <c r="O2" s="6">
        <v>0</v>
      </c>
    </row>
    <row r="3" spans="1:15" x14ac:dyDescent="0.3">
      <c r="A3" s="3">
        <v>1600000500</v>
      </c>
      <c r="B3" t="s">
        <v>13</v>
      </c>
      <c r="C3">
        <v>200077</v>
      </c>
      <c r="D3" t="str">
        <f>VLOOKUP(C3,'[1]CLIENTES '!C:D,2,FALSE)</f>
        <v>CORPORATIVO INTERNACIONAL MEXICANO</v>
      </c>
      <c r="E3" t="s">
        <v>14</v>
      </c>
      <c r="F3" s="4">
        <v>45688</v>
      </c>
      <c r="G3" s="4">
        <v>45688</v>
      </c>
      <c r="H3" s="5">
        <v>-3236375.38</v>
      </c>
      <c r="I3" t="s">
        <v>15</v>
      </c>
      <c r="J3">
        <v>1600000500</v>
      </c>
      <c r="K3" t="s">
        <v>15</v>
      </c>
      <c r="L3" s="5">
        <v>-3236375.38</v>
      </c>
      <c r="M3" t="s">
        <v>16</v>
      </c>
      <c r="N3" t="s">
        <v>17</v>
      </c>
      <c r="O3" s="6">
        <v>0</v>
      </c>
    </row>
    <row r="4" spans="1:15" x14ac:dyDescent="0.3">
      <c r="A4" s="3">
        <v>1600002000</v>
      </c>
      <c r="B4" t="s">
        <v>13</v>
      </c>
      <c r="C4">
        <v>200077</v>
      </c>
      <c r="D4" t="str">
        <f>VLOOKUP(C4,'[1]CLIENTES '!C:D,2,FALSE)</f>
        <v>CORPORATIVO INTERNACIONAL MEXICANO</v>
      </c>
      <c r="E4" t="s">
        <v>14</v>
      </c>
      <c r="F4" s="4">
        <v>45688</v>
      </c>
      <c r="G4" s="4">
        <v>45688</v>
      </c>
      <c r="H4" s="5">
        <v>3236375.38</v>
      </c>
      <c r="I4" t="s">
        <v>15</v>
      </c>
      <c r="J4">
        <v>1600002000</v>
      </c>
      <c r="K4" t="s">
        <v>15</v>
      </c>
      <c r="L4" s="5">
        <v>3236375.38</v>
      </c>
      <c r="M4" t="s">
        <v>16</v>
      </c>
      <c r="N4" t="s">
        <v>18</v>
      </c>
      <c r="O4" s="6">
        <v>0</v>
      </c>
    </row>
    <row r="5" spans="1:15" x14ac:dyDescent="0.3">
      <c r="A5" s="3">
        <v>1600001000</v>
      </c>
      <c r="B5" t="s">
        <v>13</v>
      </c>
      <c r="C5">
        <v>200077</v>
      </c>
      <c r="D5" t="str">
        <f>VLOOKUP(C5,'[1]CLIENTES '!C:D,2,FALSE)</f>
        <v>CORPORATIVO INTERNACIONAL MEXICANO</v>
      </c>
      <c r="E5" t="s">
        <v>14</v>
      </c>
      <c r="F5" s="4">
        <v>45688</v>
      </c>
      <c r="G5" s="4">
        <v>45688</v>
      </c>
      <c r="H5" s="5">
        <v>3236375.38</v>
      </c>
      <c r="I5" t="s">
        <v>15</v>
      </c>
      <c r="J5">
        <v>1600001000</v>
      </c>
      <c r="K5" t="s">
        <v>15</v>
      </c>
      <c r="L5" s="5">
        <v>3236375.38</v>
      </c>
      <c r="M5" t="s">
        <v>16</v>
      </c>
      <c r="N5" t="s">
        <v>18</v>
      </c>
      <c r="O5" s="6">
        <v>0</v>
      </c>
    </row>
    <row r="6" spans="1:15" x14ac:dyDescent="0.3">
      <c r="A6" s="3">
        <v>1600001500</v>
      </c>
      <c r="B6" t="s">
        <v>13</v>
      </c>
      <c r="C6">
        <v>200077</v>
      </c>
      <c r="D6" t="str">
        <f>VLOOKUP(C6,'[1]CLIENTES '!C:D,2,FALSE)</f>
        <v>CORPORATIVO INTERNACIONAL MEXICANO</v>
      </c>
      <c r="E6" t="s">
        <v>14</v>
      </c>
      <c r="F6" s="4">
        <v>45688</v>
      </c>
      <c r="G6" s="4">
        <v>45688</v>
      </c>
      <c r="H6" s="5">
        <v>-3882718.86</v>
      </c>
      <c r="I6" t="s">
        <v>19</v>
      </c>
      <c r="J6">
        <v>1600001500</v>
      </c>
      <c r="K6" t="s">
        <v>19</v>
      </c>
      <c r="L6" s="5">
        <v>-3882718.86</v>
      </c>
      <c r="M6" t="s">
        <v>20</v>
      </c>
      <c r="N6" t="s">
        <v>17</v>
      </c>
      <c r="O6" s="6">
        <v>314</v>
      </c>
    </row>
    <row r="7" spans="1:15" x14ac:dyDescent="0.3">
      <c r="A7" s="3">
        <v>1800002500</v>
      </c>
      <c r="B7" t="s">
        <v>13</v>
      </c>
      <c r="C7">
        <v>200077</v>
      </c>
      <c r="D7" t="str">
        <f>VLOOKUP(C7,'[1]CLIENTES '!C:D,2,FALSE)</f>
        <v>CORPORATIVO INTERNACIONAL MEXICANO</v>
      </c>
      <c r="E7" t="s">
        <v>14</v>
      </c>
      <c r="F7" s="4">
        <v>45688</v>
      </c>
      <c r="G7" s="4">
        <v>45688</v>
      </c>
      <c r="H7" s="5">
        <v>3236375.38</v>
      </c>
      <c r="I7" t="s">
        <v>15</v>
      </c>
      <c r="J7">
        <v>1800002500</v>
      </c>
      <c r="K7" t="s">
        <v>15</v>
      </c>
      <c r="L7" s="5">
        <v>3236375.38</v>
      </c>
      <c r="M7" t="s">
        <v>16</v>
      </c>
      <c r="N7" t="s">
        <v>21</v>
      </c>
      <c r="O7" s="6">
        <v>314</v>
      </c>
    </row>
    <row r="8" spans="1:15" x14ac:dyDescent="0.3">
      <c r="A8" s="3">
        <v>1800003000</v>
      </c>
      <c r="B8" t="s">
        <v>13</v>
      </c>
      <c r="C8">
        <v>200077</v>
      </c>
      <c r="D8" t="str">
        <f>VLOOKUP(C8,'[1]CLIENTES '!C:D,2,FALSE)</f>
        <v>CORPORATIVO INTERNACIONAL MEXICANO</v>
      </c>
      <c r="E8" t="s">
        <v>14</v>
      </c>
      <c r="F8" s="4">
        <v>45688</v>
      </c>
      <c r="G8" s="4">
        <v>45688</v>
      </c>
      <c r="H8" s="5">
        <v>6788543.3499999996</v>
      </c>
      <c r="I8" t="s">
        <v>22</v>
      </c>
      <c r="J8">
        <v>1800003000</v>
      </c>
      <c r="K8" t="s">
        <v>22</v>
      </c>
      <c r="L8" s="5">
        <v>6788543.3499999996</v>
      </c>
      <c r="M8" t="s">
        <v>23</v>
      </c>
      <c r="N8" t="s">
        <v>21</v>
      </c>
      <c r="O8" s="6">
        <v>314</v>
      </c>
    </row>
    <row r="9" spans="1:15" x14ac:dyDescent="0.3">
      <c r="B9" t="s">
        <v>24</v>
      </c>
      <c r="C9">
        <v>200077</v>
      </c>
      <c r="D9" t="str">
        <f>VLOOKUP(C9,'[1]CLIENTES '!C:D,2,FALSE)</f>
        <v>CORPORATIVO INTERNACIONAL MEXICANO</v>
      </c>
      <c r="E9" t="s">
        <v>24</v>
      </c>
      <c r="F9" s="4"/>
      <c r="G9" s="4"/>
      <c r="H9" s="5">
        <v>6142199.8700000001</v>
      </c>
      <c r="I9" t="s">
        <v>24</v>
      </c>
      <c r="K9" t="s">
        <v>24</v>
      </c>
      <c r="L9" s="5">
        <v>6142199.8700000001</v>
      </c>
      <c r="M9" t="s">
        <v>24</v>
      </c>
      <c r="N9" t="s">
        <v>24</v>
      </c>
      <c r="O9" s="6"/>
    </row>
    <row r="10" spans="1:15" x14ac:dyDescent="0.3">
      <c r="A10" s="3">
        <v>1400001501</v>
      </c>
      <c r="B10" t="s">
        <v>13</v>
      </c>
      <c r="C10">
        <v>200093</v>
      </c>
      <c r="D10" t="str">
        <f>VLOOKUP(C10,'[1]CLIENTES '!C:D,2,FALSE)</f>
        <v>SABRITAS</v>
      </c>
      <c r="E10" t="s">
        <v>14</v>
      </c>
      <c r="F10" s="4">
        <v>45671</v>
      </c>
      <c r="G10" s="4">
        <v>45671</v>
      </c>
      <c r="H10" s="5">
        <v>-1368028</v>
      </c>
      <c r="I10" t="s">
        <v>25</v>
      </c>
      <c r="J10">
        <v>1400001501</v>
      </c>
      <c r="K10" t="s">
        <v>25</v>
      </c>
      <c r="L10" s="5">
        <v>-1368028</v>
      </c>
      <c r="M10" t="s">
        <v>26</v>
      </c>
      <c r="N10" t="s">
        <v>27</v>
      </c>
      <c r="O10" s="6">
        <v>24</v>
      </c>
    </row>
    <row r="11" spans="1:15" x14ac:dyDescent="0.3">
      <c r="A11" s="3">
        <v>1400001500</v>
      </c>
      <c r="B11" t="s">
        <v>13</v>
      </c>
      <c r="C11">
        <v>200093</v>
      </c>
      <c r="D11" t="str">
        <f>VLOOKUP(C11,'[1]CLIENTES '!C:D,2,FALSE)</f>
        <v>SABRITAS</v>
      </c>
      <c r="E11" t="s">
        <v>14</v>
      </c>
      <c r="F11" s="4">
        <v>45671</v>
      </c>
      <c r="G11" s="4">
        <v>45671</v>
      </c>
      <c r="H11" s="5">
        <v>-1159605</v>
      </c>
      <c r="I11" t="s">
        <v>28</v>
      </c>
      <c r="J11">
        <v>1400001500</v>
      </c>
      <c r="K11" t="s">
        <v>28</v>
      </c>
      <c r="L11" s="5">
        <v>-1159605</v>
      </c>
      <c r="M11" t="s">
        <v>26</v>
      </c>
      <c r="N11" t="s">
        <v>27</v>
      </c>
      <c r="O11" s="6">
        <v>24</v>
      </c>
    </row>
    <row r="12" spans="1:15" x14ac:dyDescent="0.3">
      <c r="A12" s="3">
        <v>1400000500</v>
      </c>
      <c r="B12" t="s">
        <v>13</v>
      </c>
      <c r="C12">
        <v>200093</v>
      </c>
      <c r="D12" t="str">
        <f>VLOOKUP(C12,'[1]CLIENTES '!C:D,2,FALSE)</f>
        <v>SABRITAS</v>
      </c>
      <c r="E12" t="s">
        <v>14</v>
      </c>
      <c r="F12" s="4">
        <v>45671</v>
      </c>
      <c r="G12" s="4">
        <v>45671</v>
      </c>
      <c r="H12" s="5">
        <v>-552197</v>
      </c>
      <c r="I12" t="s">
        <v>29</v>
      </c>
      <c r="J12">
        <v>1400000500</v>
      </c>
      <c r="K12" t="s">
        <v>29</v>
      </c>
      <c r="L12" s="5">
        <v>-552197</v>
      </c>
      <c r="M12" t="s">
        <v>26</v>
      </c>
      <c r="N12" t="s">
        <v>27</v>
      </c>
      <c r="O12" s="6">
        <v>24</v>
      </c>
    </row>
    <row r="13" spans="1:15" x14ac:dyDescent="0.3">
      <c r="A13" s="3">
        <v>1400001000</v>
      </c>
      <c r="B13" t="s">
        <v>13</v>
      </c>
      <c r="C13">
        <v>200093</v>
      </c>
      <c r="D13" t="str">
        <f>VLOOKUP(C13,'[1]CLIENTES '!C:D,2,FALSE)</f>
        <v>SABRITAS</v>
      </c>
      <c r="E13" t="s">
        <v>14</v>
      </c>
      <c r="F13" s="4">
        <v>45671</v>
      </c>
      <c r="G13" s="4">
        <v>45671</v>
      </c>
      <c r="H13" s="5">
        <v>-410275</v>
      </c>
      <c r="I13" t="s">
        <v>30</v>
      </c>
      <c r="J13">
        <v>1400001000</v>
      </c>
      <c r="K13" t="s">
        <v>30</v>
      </c>
      <c r="L13" s="5">
        <v>-410275</v>
      </c>
      <c r="M13" t="s">
        <v>26</v>
      </c>
      <c r="N13" t="s">
        <v>27</v>
      </c>
      <c r="O13" s="6">
        <v>24</v>
      </c>
    </row>
    <row r="14" spans="1:15" x14ac:dyDescent="0.3">
      <c r="A14" s="3">
        <v>100002502</v>
      </c>
      <c r="B14" t="s">
        <v>13</v>
      </c>
      <c r="C14">
        <v>200093</v>
      </c>
      <c r="D14" t="str">
        <f>VLOOKUP(C14,'[1]CLIENTES '!C:D,2,FALSE)</f>
        <v>SABRITAS</v>
      </c>
      <c r="E14" t="s">
        <v>14</v>
      </c>
      <c r="F14" s="4">
        <v>45671</v>
      </c>
      <c r="G14" s="4">
        <v>45671</v>
      </c>
      <c r="H14" s="5">
        <v>0</v>
      </c>
      <c r="I14" t="s">
        <v>24</v>
      </c>
      <c r="J14">
        <v>100002502</v>
      </c>
      <c r="K14" t="s">
        <v>24</v>
      </c>
      <c r="L14" s="5">
        <v>0</v>
      </c>
      <c r="M14" t="s">
        <v>24</v>
      </c>
      <c r="N14" t="s">
        <v>31</v>
      </c>
      <c r="O14" s="6">
        <v>0</v>
      </c>
    </row>
    <row r="15" spans="1:15" x14ac:dyDescent="0.3">
      <c r="A15" s="3">
        <v>100002501</v>
      </c>
      <c r="B15" t="s">
        <v>13</v>
      </c>
      <c r="C15">
        <v>200093</v>
      </c>
      <c r="D15" t="str">
        <f>VLOOKUP(C15,'[1]CLIENTES '!C:D,2,FALSE)</f>
        <v>SABRITAS</v>
      </c>
      <c r="E15" t="s">
        <v>14</v>
      </c>
      <c r="F15" s="4">
        <v>45671</v>
      </c>
      <c r="G15" s="4">
        <v>45671</v>
      </c>
      <c r="H15" s="5">
        <v>0</v>
      </c>
      <c r="I15" t="s">
        <v>24</v>
      </c>
      <c r="J15">
        <v>100002501</v>
      </c>
      <c r="K15" t="s">
        <v>24</v>
      </c>
      <c r="L15" s="5">
        <v>0</v>
      </c>
      <c r="M15" t="s">
        <v>24</v>
      </c>
      <c r="N15" t="s">
        <v>31</v>
      </c>
      <c r="O15" s="6">
        <v>0</v>
      </c>
    </row>
    <row r="16" spans="1:15" x14ac:dyDescent="0.3">
      <c r="A16" s="3">
        <v>100002500</v>
      </c>
      <c r="B16" t="s">
        <v>13</v>
      </c>
      <c r="C16">
        <v>200093</v>
      </c>
      <c r="D16" t="str">
        <f>VLOOKUP(C16,'[1]CLIENTES '!C:D,2,FALSE)</f>
        <v>SABRITAS</v>
      </c>
      <c r="E16" t="s">
        <v>14</v>
      </c>
      <c r="F16" s="4">
        <v>45671</v>
      </c>
      <c r="G16" s="4">
        <v>45671</v>
      </c>
      <c r="H16" s="5">
        <v>0</v>
      </c>
      <c r="I16" t="s">
        <v>24</v>
      </c>
      <c r="J16">
        <v>100002500</v>
      </c>
      <c r="K16" t="s">
        <v>24</v>
      </c>
      <c r="L16" s="5">
        <v>0</v>
      </c>
      <c r="M16" t="s">
        <v>24</v>
      </c>
      <c r="N16" t="s">
        <v>31</v>
      </c>
      <c r="O16" s="6">
        <v>0</v>
      </c>
    </row>
    <row r="17" spans="1:15" x14ac:dyDescent="0.3">
      <c r="A17" s="3">
        <v>100002001</v>
      </c>
      <c r="B17" t="s">
        <v>13</v>
      </c>
      <c r="C17">
        <v>200093</v>
      </c>
      <c r="D17" t="str">
        <f>VLOOKUP(C17,'[1]CLIENTES '!C:D,2,FALSE)</f>
        <v>SABRITAS</v>
      </c>
      <c r="E17" t="s">
        <v>14</v>
      </c>
      <c r="F17" s="4">
        <v>45671</v>
      </c>
      <c r="G17" s="4">
        <v>45671</v>
      </c>
      <c r="H17" s="5">
        <v>0</v>
      </c>
      <c r="I17" t="s">
        <v>24</v>
      </c>
      <c r="J17">
        <v>100002001</v>
      </c>
      <c r="K17" t="s">
        <v>24</v>
      </c>
      <c r="L17" s="5">
        <v>0</v>
      </c>
      <c r="M17" t="s">
        <v>24</v>
      </c>
      <c r="N17" t="s">
        <v>31</v>
      </c>
      <c r="O17" s="6">
        <v>0</v>
      </c>
    </row>
    <row r="18" spans="1:15" x14ac:dyDescent="0.3">
      <c r="A18" s="3">
        <v>1800000500</v>
      </c>
      <c r="B18" t="s">
        <v>13</v>
      </c>
      <c r="C18">
        <v>200093</v>
      </c>
      <c r="D18" t="str">
        <f>VLOOKUP(C18,'[1]CLIENTES '!C:D,2,FALSE)</f>
        <v>SABRITAS</v>
      </c>
      <c r="E18" t="s">
        <v>14</v>
      </c>
      <c r="F18" s="4">
        <v>45686</v>
      </c>
      <c r="G18" s="4">
        <v>45686</v>
      </c>
      <c r="H18" s="5">
        <v>427547</v>
      </c>
      <c r="I18" t="s">
        <v>32</v>
      </c>
      <c r="J18">
        <v>1800000500</v>
      </c>
      <c r="K18" t="s">
        <v>32</v>
      </c>
      <c r="L18" s="5">
        <v>427547</v>
      </c>
      <c r="M18" t="s">
        <v>33</v>
      </c>
      <c r="N18" t="s">
        <v>21</v>
      </c>
      <c r="O18" s="6">
        <v>26</v>
      </c>
    </row>
    <row r="19" spans="1:15" x14ac:dyDescent="0.3">
      <c r="A19" s="3">
        <v>1800000000</v>
      </c>
      <c r="B19" t="s">
        <v>13</v>
      </c>
      <c r="C19">
        <v>200093</v>
      </c>
      <c r="D19" t="str">
        <f>VLOOKUP(C19,'[1]CLIENTES '!C:D,2,FALSE)</f>
        <v>SABRITAS</v>
      </c>
      <c r="E19" t="s">
        <v>14</v>
      </c>
      <c r="F19" s="4">
        <v>45686</v>
      </c>
      <c r="G19" s="4">
        <v>45686</v>
      </c>
      <c r="H19" s="5">
        <v>575445</v>
      </c>
      <c r="I19" t="s">
        <v>34</v>
      </c>
      <c r="J19">
        <v>1800000000</v>
      </c>
      <c r="K19" t="s">
        <v>34</v>
      </c>
      <c r="L19" s="5">
        <v>575445</v>
      </c>
      <c r="M19" t="s">
        <v>35</v>
      </c>
      <c r="N19" t="s">
        <v>21</v>
      </c>
      <c r="O19" s="6">
        <v>26</v>
      </c>
    </row>
    <row r="20" spans="1:15" x14ac:dyDescent="0.3">
      <c r="A20" s="3">
        <v>1800001000</v>
      </c>
      <c r="B20" t="s">
        <v>13</v>
      </c>
      <c r="C20">
        <v>200093</v>
      </c>
      <c r="D20" t="str">
        <f>VLOOKUP(C20,'[1]CLIENTES '!C:D,2,FALSE)</f>
        <v>SABRITAS</v>
      </c>
      <c r="E20" t="s">
        <v>14</v>
      </c>
      <c r="F20" s="4">
        <v>45686</v>
      </c>
      <c r="G20" s="4">
        <v>45686</v>
      </c>
      <c r="H20" s="5">
        <v>1208424</v>
      </c>
      <c r="I20" t="s">
        <v>36</v>
      </c>
      <c r="J20">
        <v>1800001000</v>
      </c>
      <c r="K20" t="s">
        <v>36</v>
      </c>
      <c r="L20" s="5">
        <v>1208424</v>
      </c>
      <c r="M20" t="s">
        <v>37</v>
      </c>
      <c r="N20" t="s">
        <v>21</v>
      </c>
      <c r="O20" s="6">
        <v>26</v>
      </c>
    </row>
    <row r="21" spans="1:15" x14ac:dyDescent="0.3">
      <c r="A21" s="3">
        <v>1800002000</v>
      </c>
      <c r="B21" t="s">
        <v>13</v>
      </c>
      <c r="C21">
        <v>200093</v>
      </c>
      <c r="D21" t="str">
        <f>VLOOKUP(C21,'[1]CLIENTES '!C:D,2,FALSE)</f>
        <v>SABRITAS</v>
      </c>
      <c r="E21" t="s">
        <v>14</v>
      </c>
      <c r="F21" s="4">
        <v>45686</v>
      </c>
      <c r="G21" s="4">
        <v>45686</v>
      </c>
      <c r="H21" s="5">
        <v>1425623</v>
      </c>
      <c r="I21" t="s">
        <v>38</v>
      </c>
      <c r="J21">
        <v>1800002000</v>
      </c>
      <c r="K21" t="s">
        <v>38</v>
      </c>
      <c r="L21" s="5">
        <v>1425623</v>
      </c>
      <c r="M21" t="s">
        <v>39</v>
      </c>
      <c r="N21" t="s">
        <v>21</v>
      </c>
      <c r="O21" s="6">
        <v>26</v>
      </c>
    </row>
    <row r="22" spans="1:15" x14ac:dyDescent="0.3">
      <c r="B22" t="s">
        <v>24</v>
      </c>
      <c r="C22">
        <v>200093</v>
      </c>
      <c r="D22" t="str">
        <f>VLOOKUP(C22,'[1]CLIENTES '!C:D,2,FALSE)</f>
        <v>SABRITAS</v>
      </c>
      <c r="E22" t="s">
        <v>24</v>
      </c>
      <c r="F22" s="4"/>
      <c r="G22" s="4"/>
      <c r="H22" s="5">
        <v>146934</v>
      </c>
      <c r="I22" t="s">
        <v>24</v>
      </c>
      <c r="K22" t="s">
        <v>24</v>
      </c>
      <c r="L22" s="5">
        <v>146934</v>
      </c>
      <c r="M22" t="s">
        <v>24</v>
      </c>
      <c r="N22" t="s">
        <v>24</v>
      </c>
      <c r="O22" s="6"/>
    </row>
    <row r="23" spans="1:15" x14ac:dyDescent="0.3">
      <c r="A23" s="3">
        <v>1400000000</v>
      </c>
      <c r="B23" t="s">
        <v>13</v>
      </c>
      <c r="C23">
        <v>200841</v>
      </c>
      <c r="D23" t="str">
        <f>VLOOKUP(C23,'[1]CLIENTES '!C:D,2,FALSE)</f>
        <v>COMERCIALIZADORA PEPSICO MEXICO</v>
      </c>
      <c r="E23" t="s">
        <v>14</v>
      </c>
      <c r="F23" s="4">
        <v>45671</v>
      </c>
      <c r="G23" s="4">
        <v>45671</v>
      </c>
      <c r="H23" s="5">
        <v>-663746</v>
      </c>
      <c r="I23" t="s">
        <v>40</v>
      </c>
      <c r="J23">
        <v>1400000000</v>
      </c>
      <c r="K23" t="s">
        <v>40</v>
      </c>
      <c r="L23" s="5">
        <v>-663746</v>
      </c>
      <c r="M23" t="s">
        <v>26</v>
      </c>
      <c r="N23" t="s">
        <v>27</v>
      </c>
      <c r="O23" s="6">
        <v>24</v>
      </c>
    </row>
    <row r="24" spans="1:15" x14ac:dyDescent="0.3">
      <c r="A24" s="3">
        <v>100002000</v>
      </c>
      <c r="B24" t="s">
        <v>13</v>
      </c>
      <c r="C24">
        <v>200841</v>
      </c>
      <c r="D24" t="str">
        <f>VLOOKUP(C24,'[1]CLIENTES '!C:D,2,FALSE)</f>
        <v>COMERCIALIZADORA PEPSICO MEXICO</v>
      </c>
      <c r="E24" t="s">
        <v>14</v>
      </c>
      <c r="F24" s="4">
        <v>45671</v>
      </c>
      <c r="G24" s="4">
        <v>45671</v>
      </c>
      <c r="H24" s="5">
        <v>0</v>
      </c>
      <c r="I24" t="s">
        <v>24</v>
      </c>
      <c r="J24">
        <v>100002000</v>
      </c>
      <c r="K24" t="s">
        <v>24</v>
      </c>
      <c r="L24" s="5">
        <v>0</v>
      </c>
      <c r="M24" t="s">
        <v>24</v>
      </c>
      <c r="N24" t="s">
        <v>31</v>
      </c>
      <c r="O24" s="6">
        <v>0</v>
      </c>
    </row>
    <row r="25" spans="1:15" x14ac:dyDescent="0.3">
      <c r="A25" s="3">
        <v>1800001500</v>
      </c>
      <c r="B25" t="s">
        <v>13</v>
      </c>
      <c r="C25">
        <v>200841</v>
      </c>
      <c r="D25" t="str">
        <f>VLOOKUP(C25,'[1]CLIENTES '!C:D,2,FALSE)</f>
        <v>COMERCIALIZADORA PEPSICO MEXICO</v>
      </c>
      <c r="E25" t="s">
        <v>14</v>
      </c>
      <c r="F25" s="4">
        <v>45686</v>
      </c>
      <c r="G25" s="4">
        <v>45686</v>
      </c>
      <c r="H25" s="5">
        <v>663746</v>
      </c>
      <c r="I25" t="s">
        <v>41</v>
      </c>
      <c r="J25">
        <v>1800001500</v>
      </c>
      <c r="K25" t="s">
        <v>41</v>
      </c>
      <c r="L25" s="5">
        <v>663746</v>
      </c>
      <c r="M25" t="s">
        <v>42</v>
      </c>
      <c r="N25" t="s">
        <v>21</v>
      </c>
      <c r="O25" s="6">
        <v>26</v>
      </c>
    </row>
    <row r="26" spans="1:15" x14ac:dyDescent="0.3">
      <c r="B26" t="s">
        <v>24</v>
      </c>
      <c r="C26">
        <v>200841</v>
      </c>
      <c r="D26" t="str">
        <f>VLOOKUP(C26,'[1]CLIENTES '!C:D,2,FALSE)</f>
        <v>COMERCIALIZADORA PEPSICO MEXICO</v>
      </c>
      <c r="E26" t="s">
        <v>24</v>
      </c>
      <c r="F26" s="4"/>
      <c r="G26" s="4"/>
      <c r="H26" s="5">
        <v>0</v>
      </c>
      <c r="I26" t="s">
        <v>24</v>
      </c>
      <c r="K26" t="s">
        <v>24</v>
      </c>
      <c r="L26" s="5">
        <v>0</v>
      </c>
      <c r="M26" t="s">
        <v>24</v>
      </c>
      <c r="N26" t="s">
        <v>24</v>
      </c>
      <c r="O26" s="6"/>
    </row>
    <row r="27" spans="1:15" x14ac:dyDescent="0.3">
      <c r="A27" s="3">
        <v>1600003000</v>
      </c>
      <c r="B27" t="s">
        <v>43</v>
      </c>
      <c r="C27">
        <v>200077</v>
      </c>
      <c r="D27" t="str">
        <f>VLOOKUP(C27,'[1]CLIENTES '!C:D,2,FALSE)</f>
        <v>CORPORATIVO INTERNACIONAL MEXICANO</v>
      </c>
      <c r="E27" t="s">
        <v>14</v>
      </c>
      <c r="F27" s="4">
        <v>45716</v>
      </c>
      <c r="G27" s="4">
        <v>45716</v>
      </c>
      <c r="H27" s="5">
        <v>-129788.87</v>
      </c>
      <c r="I27" t="s">
        <v>44</v>
      </c>
      <c r="J27">
        <v>1600003000</v>
      </c>
      <c r="K27" t="s">
        <v>44</v>
      </c>
      <c r="L27" s="5">
        <v>-129788.87</v>
      </c>
      <c r="M27" t="s">
        <v>45</v>
      </c>
      <c r="N27" t="s">
        <v>17</v>
      </c>
      <c r="O27" s="6">
        <v>0</v>
      </c>
    </row>
    <row r="28" spans="1:15" x14ac:dyDescent="0.3">
      <c r="A28" s="3">
        <v>1600003500</v>
      </c>
      <c r="B28" t="s">
        <v>43</v>
      </c>
      <c r="C28">
        <v>200077</v>
      </c>
      <c r="D28" t="str">
        <f>VLOOKUP(C28,'[1]CLIENTES '!C:D,2,FALSE)</f>
        <v>CORPORATIVO INTERNACIONAL MEXICANO</v>
      </c>
      <c r="E28" t="s">
        <v>14</v>
      </c>
      <c r="F28" s="4">
        <v>45716</v>
      </c>
      <c r="G28" s="4">
        <v>45716</v>
      </c>
      <c r="H28" s="5">
        <v>129788.87</v>
      </c>
      <c r="I28" t="s">
        <v>44</v>
      </c>
      <c r="J28">
        <v>1600003500</v>
      </c>
      <c r="K28" t="s">
        <v>44</v>
      </c>
      <c r="L28" s="5">
        <v>129788.87</v>
      </c>
      <c r="M28" t="s">
        <v>45</v>
      </c>
      <c r="N28" t="s">
        <v>18</v>
      </c>
      <c r="O28" s="6">
        <v>0</v>
      </c>
    </row>
    <row r="29" spans="1:15" x14ac:dyDescent="0.3">
      <c r="A29" s="3">
        <v>1600002500</v>
      </c>
      <c r="B29" t="s">
        <v>43</v>
      </c>
      <c r="C29">
        <v>200077</v>
      </c>
      <c r="D29" t="str">
        <f>VLOOKUP(C29,'[1]CLIENTES '!C:D,2,FALSE)</f>
        <v>CORPORATIVO INTERNACIONAL MEXICANO</v>
      </c>
      <c r="E29" t="s">
        <v>14</v>
      </c>
      <c r="F29" s="4">
        <v>45716</v>
      </c>
      <c r="G29" s="4">
        <v>45716</v>
      </c>
      <c r="H29" s="5">
        <v>-4521422.71</v>
      </c>
      <c r="I29" t="s">
        <v>46</v>
      </c>
      <c r="J29">
        <v>1600002500</v>
      </c>
      <c r="K29" t="s">
        <v>46</v>
      </c>
      <c r="L29" s="5">
        <v>-4521422.71</v>
      </c>
      <c r="M29" t="s">
        <v>45</v>
      </c>
      <c r="N29" t="s">
        <v>17</v>
      </c>
      <c r="O29" s="6">
        <v>286</v>
      </c>
    </row>
    <row r="30" spans="1:15" x14ac:dyDescent="0.3">
      <c r="A30" s="3">
        <v>1800006000</v>
      </c>
      <c r="B30" t="s">
        <v>43</v>
      </c>
      <c r="C30">
        <v>200077</v>
      </c>
      <c r="D30" t="str">
        <f>VLOOKUP(C30,'[1]CLIENTES '!C:D,2,FALSE)</f>
        <v>CORPORATIVO INTERNACIONAL MEXICANO</v>
      </c>
      <c r="E30" t="s">
        <v>14</v>
      </c>
      <c r="F30" s="4">
        <v>45716</v>
      </c>
      <c r="G30" s="4">
        <v>45716</v>
      </c>
      <c r="H30" s="5">
        <v>2937154.28</v>
      </c>
      <c r="I30" t="s">
        <v>47</v>
      </c>
      <c r="J30">
        <v>1800006000</v>
      </c>
      <c r="K30" t="s">
        <v>47</v>
      </c>
      <c r="L30" s="5">
        <v>2937154.28</v>
      </c>
      <c r="M30" t="s">
        <v>48</v>
      </c>
      <c r="N30" t="s">
        <v>21</v>
      </c>
      <c r="O30" s="6">
        <v>286</v>
      </c>
    </row>
    <row r="31" spans="1:15" x14ac:dyDescent="0.3">
      <c r="A31" s="3">
        <v>1800006500</v>
      </c>
      <c r="B31" t="s">
        <v>43</v>
      </c>
      <c r="C31">
        <v>200077</v>
      </c>
      <c r="D31" t="str">
        <f>VLOOKUP(C31,'[1]CLIENTES '!C:D,2,FALSE)</f>
        <v>CORPORATIVO INTERNACIONAL MEXICANO</v>
      </c>
      <c r="E31" t="s">
        <v>14</v>
      </c>
      <c r="F31" s="4">
        <v>45716</v>
      </c>
      <c r="G31" s="4">
        <v>45716</v>
      </c>
      <c r="H31" s="5">
        <v>7002632.9199999999</v>
      </c>
      <c r="I31" t="s">
        <v>49</v>
      </c>
      <c r="J31">
        <v>1800006500</v>
      </c>
      <c r="K31" t="s">
        <v>49</v>
      </c>
      <c r="L31" s="5">
        <v>7002632.9199999999</v>
      </c>
      <c r="M31" t="s">
        <v>50</v>
      </c>
      <c r="N31" t="s">
        <v>21</v>
      </c>
      <c r="O31" s="6">
        <v>286</v>
      </c>
    </row>
    <row r="32" spans="1:15" x14ac:dyDescent="0.3">
      <c r="B32" t="s">
        <v>24</v>
      </c>
      <c r="C32">
        <v>200077</v>
      </c>
      <c r="D32" t="str">
        <f>VLOOKUP(C32,'[1]CLIENTES '!C:D,2,FALSE)</f>
        <v>CORPORATIVO INTERNACIONAL MEXICANO</v>
      </c>
      <c r="E32" t="s">
        <v>24</v>
      </c>
      <c r="F32" s="4"/>
      <c r="G32" s="4"/>
      <c r="H32" s="5">
        <v>5418364.4900000002</v>
      </c>
      <c r="I32" t="s">
        <v>24</v>
      </c>
      <c r="K32" t="s">
        <v>24</v>
      </c>
      <c r="L32" s="5">
        <v>5418364.4900000002</v>
      </c>
      <c r="M32" t="s">
        <v>24</v>
      </c>
      <c r="N32" t="s">
        <v>24</v>
      </c>
      <c r="O32" s="6"/>
    </row>
    <row r="33" spans="1:15" x14ac:dyDescent="0.3">
      <c r="A33" s="3">
        <v>1400002501</v>
      </c>
      <c r="B33" t="s">
        <v>43</v>
      </c>
      <c r="C33">
        <v>200093</v>
      </c>
      <c r="D33" t="str">
        <f>VLOOKUP(C33,'[1]CLIENTES '!C:D,2,FALSE)</f>
        <v>SABRITAS</v>
      </c>
      <c r="E33" t="s">
        <v>14</v>
      </c>
      <c r="F33" s="4">
        <v>45712</v>
      </c>
      <c r="G33" s="4">
        <v>45712</v>
      </c>
      <c r="H33" s="5">
        <v>-1425623</v>
      </c>
      <c r="I33" t="s">
        <v>38</v>
      </c>
      <c r="J33">
        <v>1400002501</v>
      </c>
      <c r="K33" t="s">
        <v>38</v>
      </c>
      <c r="L33" s="5">
        <v>-1425623</v>
      </c>
      <c r="M33" t="s">
        <v>26</v>
      </c>
      <c r="N33" t="s">
        <v>27</v>
      </c>
      <c r="O33" s="6">
        <v>26</v>
      </c>
    </row>
    <row r="34" spans="1:15" x14ac:dyDescent="0.3">
      <c r="A34" s="3">
        <v>1400003500</v>
      </c>
      <c r="B34" t="s">
        <v>43</v>
      </c>
      <c r="C34">
        <v>200093</v>
      </c>
      <c r="D34" t="str">
        <f>VLOOKUP(C34,'[1]CLIENTES '!C:D,2,FALSE)</f>
        <v>SABRITAS</v>
      </c>
      <c r="E34" t="s">
        <v>14</v>
      </c>
      <c r="F34" s="4">
        <v>45712</v>
      </c>
      <c r="G34" s="4">
        <v>45712</v>
      </c>
      <c r="H34" s="5">
        <v>-1208424</v>
      </c>
      <c r="I34" t="s">
        <v>36</v>
      </c>
      <c r="J34">
        <v>1400003500</v>
      </c>
      <c r="K34" t="s">
        <v>36</v>
      </c>
      <c r="L34" s="5">
        <v>-1208424</v>
      </c>
      <c r="M34" t="s">
        <v>26</v>
      </c>
      <c r="N34" t="s">
        <v>27</v>
      </c>
      <c r="O34" s="6">
        <v>26</v>
      </c>
    </row>
    <row r="35" spans="1:15" x14ac:dyDescent="0.3">
      <c r="A35" s="3">
        <v>1400002500</v>
      </c>
      <c r="B35" t="s">
        <v>43</v>
      </c>
      <c r="C35">
        <v>200093</v>
      </c>
      <c r="D35" t="str">
        <f>VLOOKUP(C35,'[1]CLIENTES '!C:D,2,FALSE)</f>
        <v>SABRITAS</v>
      </c>
      <c r="E35" t="s">
        <v>14</v>
      </c>
      <c r="F35" s="4">
        <v>45712</v>
      </c>
      <c r="G35" s="4">
        <v>45712</v>
      </c>
      <c r="H35" s="5">
        <v>-575445</v>
      </c>
      <c r="I35" t="s">
        <v>34</v>
      </c>
      <c r="J35">
        <v>1400002500</v>
      </c>
      <c r="K35" t="s">
        <v>34</v>
      </c>
      <c r="L35" s="5">
        <v>-575445</v>
      </c>
      <c r="M35" t="s">
        <v>26</v>
      </c>
      <c r="N35" t="s">
        <v>27</v>
      </c>
      <c r="O35" s="6">
        <v>26</v>
      </c>
    </row>
    <row r="36" spans="1:15" x14ac:dyDescent="0.3">
      <c r="A36" s="3">
        <v>1400003000</v>
      </c>
      <c r="B36" t="s">
        <v>43</v>
      </c>
      <c r="C36">
        <v>200093</v>
      </c>
      <c r="D36" t="str">
        <f>VLOOKUP(C36,'[1]CLIENTES '!C:D,2,FALSE)</f>
        <v>SABRITAS</v>
      </c>
      <c r="E36" t="s">
        <v>14</v>
      </c>
      <c r="F36" s="4">
        <v>45712</v>
      </c>
      <c r="G36" s="4">
        <v>45712</v>
      </c>
      <c r="H36" s="5">
        <v>-427547</v>
      </c>
      <c r="I36" t="s">
        <v>32</v>
      </c>
      <c r="J36">
        <v>1400003000</v>
      </c>
      <c r="K36" t="s">
        <v>32</v>
      </c>
      <c r="L36" s="5">
        <v>-427547</v>
      </c>
      <c r="M36" t="s">
        <v>26</v>
      </c>
      <c r="N36" t="s">
        <v>27</v>
      </c>
      <c r="O36" s="6">
        <v>26</v>
      </c>
    </row>
    <row r="37" spans="1:15" x14ac:dyDescent="0.3">
      <c r="A37" s="3">
        <v>100030000</v>
      </c>
      <c r="B37" t="s">
        <v>43</v>
      </c>
      <c r="C37">
        <v>200093</v>
      </c>
      <c r="D37" t="str">
        <f>VLOOKUP(C37,'[1]CLIENTES '!C:D,2,FALSE)</f>
        <v>SABRITAS</v>
      </c>
      <c r="E37" t="s">
        <v>14</v>
      </c>
      <c r="F37" s="4">
        <v>45712</v>
      </c>
      <c r="G37" s="4">
        <v>45712</v>
      </c>
      <c r="H37" s="5">
        <v>0</v>
      </c>
      <c r="I37" t="s">
        <v>24</v>
      </c>
      <c r="J37">
        <v>100030000</v>
      </c>
      <c r="K37" t="s">
        <v>24</v>
      </c>
      <c r="L37" s="5">
        <v>0</v>
      </c>
      <c r="M37" t="s">
        <v>24</v>
      </c>
      <c r="N37" t="s">
        <v>31</v>
      </c>
      <c r="O37" s="6">
        <v>0</v>
      </c>
    </row>
    <row r="38" spans="1:15" x14ac:dyDescent="0.3">
      <c r="A38" s="3">
        <v>100030002</v>
      </c>
      <c r="B38" t="s">
        <v>43</v>
      </c>
      <c r="C38">
        <v>200093</v>
      </c>
      <c r="D38" t="str">
        <f>VLOOKUP(C38,'[1]CLIENTES '!C:D,2,FALSE)</f>
        <v>SABRITAS</v>
      </c>
      <c r="E38" t="s">
        <v>14</v>
      </c>
      <c r="F38" s="4">
        <v>45712</v>
      </c>
      <c r="G38" s="4">
        <v>45712</v>
      </c>
      <c r="H38" s="5">
        <v>0</v>
      </c>
      <c r="I38" t="s">
        <v>24</v>
      </c>
      <c r="J38">
        <v>100030002</v>
      </c>
      <c r="K38" t="s">
        <v>24</v>
      </c>
      <c r="L38" s="5">
        <v>0</v>
      </c>
      <c r="M38" t="s">
        <v>24</v>
      </c>
      <c r="N38" t="s">
        <v>31</v>
      </c>
      <c r="O38" s="6">
        <v>0</v>
      </c>
    </row>
    <row r="39" spans="1:15" x14ac:dyDescent="0.3">
      <c r="A39" s="3">
        <v>100030003</v>
      </c>
      <c r="B39" t="s">
        <v>43</v>
      </c>
      <c r="C39">
        <v>200093</v>
      </c>
      <c r="D39" t="str">
        <f>VLOOKUP(C39,'[1]CLIENTES '!C:D,2,FALSE)</f>
        <v>SABRITAS</v>
      </c>
      <c r="E39" t="s">
        <v>14</v>
      </c>
      <c r="F39" s="4">
        <v>45712</v>
      </c>
      <c r="G39" s="4">
        <v>45712</v>
      </c>
      <c r="H39" s="5">
        <v>0</v>
      </c>
      <c r="I39" t="s">
        <v>24</v>
      </c>
      <c r="J39">
        <v>100030003</v>
      </c>
      <c r="K39" t="s">
        <v>24</v>
      </c>
      <c r="L39" s="5">
        <v>0</v>
      </c>
      <c r="M39" t="s">
        <v>24</v>
      </c>
      <c r="N39" t="s">
        <v>31</v>
      </c>
      <c r="O39" s="6">
        <v>0</v>
      </c>
    </row>
    <row r="40" spans="1:15" x14ac:dyDescent="0.3">
      <c r="A40" s="3">
        <v>100030001</v>
      </c>
      <c r="B40" t="s">
        <v>43</v>
      </c>
      <c r="C40">
        <v>200093</v>
      </c>
      <c r="D40" t="str">
        <f>VLOOKUP(C40,'[1]CLIENTES '!C:D,2,FALSE)</f>
        <v>SABRITAS</v>
      </c>
      <c r="E40" t="s">
        <v>14</v>
      </c>
      <c r="F40" s="4">
        <v>45712</v>
      </c>
      <c r="G40" s="4">
        <v>45712</v>
      </c>
      <c r="H40" s="5">
        <v>0</v>
      </c>
      <c r="I40" t="s">
        <v>24</v>
      </c>
      <c r="J40">
        <v>100030001</v>
      </c>
      <c r="K40" t="s">
        <v>24</v>
      </c>
      <c r="L40" s="5">
        <v>0</v>
      </c>
      <c r="M40" t="s">
        <v>24</v>
      </c>
      <c r="N40" t="s">
        <v>31</v>
      </c>
      <c r="O40" s="6">
        <v>0</v>
      </c>
    </row>
    <row r="41" spans="1:15" x14ac:dyDescent="0.3">
      <c r="A41" s="3">
        <v>1800004000</v>
      </c>
      <c r="B41" t="s">
        <v>43</v>
      </c>
      <c r="C41">
        <v>200093</v>
      </c>
      <c r="D41" t="str">
        <f>VLOOKUP(C41,'[1]CLIENTES '!C:D,2,FALSE)</f>
        <v>SABRITAS</v>
      </c>
      <c r="E41" t="s">
        <v>14</v>
      </c>
      <c r="F41" s="4">
        <v>45712</v>
      </c>
      <c r="G41" s="4">
        <v>45712</v>
      </c>
      <c r="H41" s="5">
        <v>427547</v>
      </c>
      <c r="I41" t="s">
        <v>51</v>
      </c>
      <c r="J41">
        <v>1800004000</v>
      </c>
      <c r="K41" t="s">
        <v>51</v>
      </c>
      <c r="L41" s="5">
        <v>427547</v>
      </c>
      <c r="M41" t="s">
        <v>33</v>
      </c>
      <c r="N41" t="s">
        <v>21</v>
      </c>
      <c r="O41" s="6">
        <v>16</v>
      </c>
    </row>
    <row r="42" spans="1:15" x14ac:dyDescent="0.3">
      <c r="A42" s="3">
        <v>1800003500</v>
      </c>
      <c r="B42" t="s">
        <v>43</v>
      </c>
      <c r="C42">
        <v>200093</v>
      </c>
      <c r="D42" t="str">
        <f>VLOOKUP(C42,'[1]CLIENTES '!C:D,2,FALSE)</f>
        <v>SABRITAS</v>
      </c>
      <c r="E42" t="s">
        <v>14</v>
      </c>
      <c r="F42" s="4">
        <v>45712</v>
      </c>
      <c r="G42" s="4">
        <v>45712</v>
      </c>
      <c r="H42" s="5">
        <v>575445</v>
      </c>
      <c r="I42" t="s">
        <v>52</v>
      </c>
      <c r="J42">
        <v>1800003500</v>
      </c>
      <c r="K42" t="s">
        <v>52</v>
      </c>
      <c r="L42" s="5">
        <v>575445</v>
      </c>
      <c r="M42" t="s">
        <v>35</v>
      </c>
      <c r="N42" t="s">
        <v>21</v>
      </c>
      <c r="O42" s="6">
        <v>16</v>
      </c>
    </row>
    <row r="43" spans="1:15" x14ac:dyDescent="0.3">
      <c r="A43" s="3">
        <v>1800004500</v>
      </c>
      <c r="B43" t="s">
        <v>43</v>
      </c>
      <c r="C43">
        <v>200093</v>
      </c>
      <c r="D43" t="str">
        <f>VLOOKUP(C43,'[1]CLIENTES '!C:D,2,FALSE)</f>
        <v>SABRITAS</v>
      </c>
      <c r="E43" t="s">
        <v>14</v>
      </c>
      <c r="F43" s="4">
        <v>45712</v>
      </c>
      <c r="G43" s="4">
        <v>45712</v>
      </c>
      <c r="H43" s="5">
        <v>1208424</v>
      </c>
      <c r="I43" t="s">
        <v>53</v>
      </c>
      <c r="J43">
        <v>1800004500</v>
      </c>
      <c r="K43" t="s">
        <v>53</v>
      </c>
      <c r="L43" s="5">
        <v>1208424</v>
      </c>
      <c r="M43" t="s">
        <v>37</v>
      </c>
      <c r="N43" t="s">
        <v>21</v>
      </c>
      <c r="O43" s="6">
        <v>16</v>
      </c>
    </row>
    <row r="44" spans="1:15" x14ac:dyDescent="0.3">
      <c r="A44" s="3">
        <v>1800005500</v>
      </c>
      <c r="B44" t="s">
        <v>43</v>
      </c>
      <c r="C44">
        <v>200093</v>
      </c>
      <c r="D44" t="str">
        <f>VLOOKUP(C44,'[1]CLIENTES '!C:D,2,FALSE)</f>
        <v>SABRITAS</v>
      </c>
      <c r="E44" t="s">
        <v>14</v>
      </c>
      <c r="F44" s="4">
        <v>45712</v>
      </c>
      <c r="G44" s="4">
        <v>45712</v>
      </c>
      <c r="H44" s="5">
        <v>1425623</v>
      </c>
      <c r="I44" t="s">
        <v>54</v>
      </c>
      <c r="J44">
        <v>1800005500</v>
      </c>
      <c r="K44" t="s">
        <v>54</v>
      </c>
      <c r="L44" s="5">
        <v>1425623</v>
      </c>
      <c r="M44" t="s">
        <v>39</v>
      </c>
      <c r="N44" t="s">
        <v>21</v>
      </c>
      <c r="O44" s="6">
        <v>16</v>
      </c>
    </row>
    <row r="45" spans="1:15" x14ac:dyDescent="0.3">
      <c r="B45" t="s">
        <v>24</v>
      </c>
      <c r="C45">
        <v>200093</v>
      </c>
      <c r="D45" t="str">
        <f>VLOOKUP(C45,'[1]CLIENTES '!C:D,2,FALSE)</f>
        <v>SABRITAS</v>
      </c>
      <c r="E45" t="s">
        <v>24</v>
      </c>
      <c r="F45" s="4"/>
      <c r="G45" s="4"/>
      <c r="H45" s="5">
        <v>0</v>
      </c>
      <c r="I45" t="s">
        <v>24</v>
      </c>
      <c r="K45" t="s">
        <v>24</v>
      </c>
      <c r="L45" s="5">
        <v>0</v>
      </c>
      <c r="M45" t="s">
        <v>24</v>
      </c>
      <c r="N45" t="s">
        <v>24</v>
      </c>
      <c r="O45" s="6"/>
    </row>
    <row r="46" spans="1:15" x14ac:dyDescent="0.3">
      <c r="A46" s="3">
        <v>1400002000</v>
      </c>
      <c r="B46" t="s">
        <v>43</v>
      </c>
      <c r="C46">
        <v>200841</v>
      </c>
      <c r="D46" t="str">
        <f>VLOOKUP(C46,'[1]CLIENTES '!C:D,2,FALSE)</f>
        <v>COMERCIALIZADORA PEPSICO MEXICO</v>
      </c>
      <c r="E46" t="s">
        <v>14</v>
      </c>
      <c r="F46" s="4">
        <v>45712</v>
      </c>
      <c r="G46" s="4">
        <v>45712</v>
      </c>
      <c r="H46" s="5">
        <v>-663746</v>
      </c>
      <c r="I46" t="s">
        <v>41</v>
      </c>
      <c r="J46">
        <v>1400002000</v>
      </c>
      <c r="K46" t="s">
        <v>41</v>
      </c>
      <c r="L46" s="5">
        <v>-663746</v>
      </c>
      <c r="M46" t="s">
        <v>26</v>
      </c>
      <c r="N46" t="s">
        <v>27</v>
      </c>
      <c r="O46" s="6">
        <v>26</v>
      </c>
    </row>
    <row r="47" spans="1:15" x14ac:dyDescent="0.3">
      <c r="A47" s="3">
        <v>100029500</v>
      </c>
      <c r="B47" t="s">
        <v>43</v>
      </c>
      <c r="C47">
        <v>200841</v>
      </c>
      <c r="D47" t="str">
        <f>VLOOKUP(C47,'[1]CLIENTES '!C:D,2,FALSE)</f>
        <v>COMERCIALIZADORA PEPSICO MEXICO</v>
      </c>
      <c r="E47" t="s">
        <v>14</v>
      </c>
      <c r="F47" s="4">
        <v>45712</v>
      </c>
      <c r="G47" s="4">
        <v>45712</v>
      </c>
      <c r="H47" s="5">
        <v>0</v>
      </c>
      <c r="I47" t="s">
        <v>24</v>
      </c>
      <c r="J47">
        <v>100029500</v>
      </c>
      <c r="K47" t="s">
        <v>24</v>
      </c>
      <c r="L47" s="5">
        <v>0</v>
      </c>
      <c r="M47" t="s">
        <v>24</v>
      </c>
      <c r="N47" t="s">
        <v>31</v>
      </c>
      <c r="O47" s="6">
        <v>0</v>
      </c>
    </row>
    <row r="48" spans="1:15" x14ac:dyDescent="0.3">
      <c r="A48" s="3">
        <v>1800005000</v>
      </c>
      <c r="B48" t="s">
        <v>43</v>
      </c>
      <c r="C48">
        <v>200841</v>
      </c>
      <c r="D48" t="str">
        <f>VLOOKUP(C48,'[1]CLIENTES '!C:D,2,FALSE)</f>
        <v>COMERCIALIZADORA PEPSICO MEXICO</v>
      </c>
      <c r="E48" t="s">
        <v>14</v>
      </c>
      <c r="F48" s="4">
        <v>45712</v>
      </c>
      <c r="G48" s="4">
        <v>45712</v>
      </c>
      <c r="H48" s="5">
        <v>663746</v>
      </c>
      <c r="I48" t="s">
        <v>55</v>
      </c>
      <c r="J48">
        <v>1800005000</v>
      </c>
      <c r="K48" t="s">
        <v>55</v>
      </c>
      <c r="L48" s="5">
        <v>663746</v>
      </c>
      <c r="M48" t="s">
        <v>42</v>
      </c>
      <c r="N48" t="s">
        <v>21</v>
      </c>
      <c r="O48" s="6">
        <v>16</v>
      </c>
    </row>
    <row r="49" spans="1:15" x14ac:dyDescent="0.3">
      <c r="B49" t="s">
        <v>24</v>
      </c>
      <c r="C49">
        <v>200841</v>
      </c>
      <c r="D49" t="str">
        <f>VLOOKUP(C49,'[1]CLIENTES '!C:D,2,FALSE)</f>
        <v>COMERCIALIZADORA PEPSICO MEXICO</v>
      </c>
      <c r="E49" t="s">
        <v>24</v>
      </c>
      <c r="F49" s="4"/>
      <c r="G49" s="4"/>
      <c r="H49" s="5">
        <v>0</v>
      </c>
      <c r="I49" t="s">
        <v>24</v>
      </c>
      <c r="K49" t="s">
        <v>24</v>
      </c>
      <c r="L49" s="5">
        <v>0</v>
      </c>
      <c r="M49" t="s">
        <v>24</v>
      </c>
      <c r="N49" t="s">
        <v>24</v>
      </c>
      <c r="O49" s="6"/>
    </row>
    <row r="50" spans="1:15" x14ac:dyDescent="0.3">
      <c r="A50" s="3">
        <v>1800011000</v>
      </c>
      <c r="B50" t="s">
        <v>56</v>
      </c>
      <c r="C50">
        <v>200077</v>
      </c>
      <c r="D50" t="str">
        <f>VLOOKUP(C50,'[1]CLIENTES '!C:D,2,FALSE)</f>
        <v>CORPORATIVO INTERNACIONAL MEXICANO</v>
      </c>
      <c r="E50" t="s">
        <v>14</v>
      </c>
      <c r="F50" s="4">
        <v>45747</v>
      </c>
      <c r="G50" s="4">
        <v>45747</v>
      </c>
      <c r="H50" s="5">
        <v>-14918312.470000001</v>
      </c>
      <c r="I50" t="s">
        <v>57</v>
      </c>
      <c r="J50">
        <v>1800011000</v>
      </c>
      <c r="K50" t="s">
        <v>57</v>
      </c>
      <c r="L50" s="5">
        <v>-14918312.470000001</v>
      </c>
      <c r="M50" t="s">
        <v>58</v>
      </c>
      <c r="N50" t="s">
        <v>21</v>
      </c>
      <c r="O50" s="6">
        <v>0</v>
      </c>
    </row>
    <row r="51" spans="1:15" x14ac:dyDescent="0.3">
      <c r="A51" s="3">
        <v>1600004500</v>
      </c>
      <c r="B51" t="s">
        <v>56</v>
      </c>
      <c r="C51">
        <v>200077</v>
      </c>
      <c r="D51" t="str">
        <f>VLOOKUP(C51,'[1]CLIENTES '!C:D,2,FALSE)</f>
        <v>CORPORATIVO INTERNACIONAL MEXICANO</v>
      </c>
      <c r="E51" t="s">
        <v>14</v>
      </c>
      <c r="F51" s="4">
        <v>45747</v>
      </c>
      <c r="G51" s="4">
        <v>45747</v>
      </c>
      <c r="H51" s="5">
        <v>-14918312.470000001</v>
      </c>
      <c r="I51" t="s">
        <v>57</v>
      </c>
      <c r="J51">
        <v>1600004500</v>
      </c>
      <c r="K51" t="s">
        <v>57</v>
      </c>
      <c r="L51" s="5">
        <v>-14918312.470000001</v>
      </c>
      <c r="M51" t="s">
        <v>58</v>
      </c>
      <c r="N51" t="s">
        <v>17</v>
      </c>
      <c r="O51" s="6">
        <v>0</v>
      </c>
    </row>
    <row r="52" spans="1:15" x14ac:dyDescent="0.3">
      <c r="A52" s="3">
        <v>1600006500</v>
      </c>
      <c r="B52" t="s">
        <v>56</v>
      </c>
      <c r="C52">
        <v>200077</v>
      </c>
      <c r="D52" t="str">
        <f>VLOOKUP(C52,'[1]CLIENTES '!C:D,2,FALSE)</f>
        <v>CORPORATIVO INTERNACIONAL MEXICANO</v>
      </c>
      <c r="E52" t="s">
        <v>14</v>
      </c>
      <c r="F52" s="4">
        <v>45747</v>
      </c>
      <c r="G52" s="4">
        <v>45747</v>
      </c>
      <c r="H52" s="5">
        <v>-14918312.470000001</v>
      </c>
      <c r="I52" t="s">
        <v>57</v>
      </c>
      <c r="J52">
        <v>1600006500</v>
      </c>
      <c r="K52" t="s">
        <v>57</v>
      </c>
      <c r="L52" s="5">
        <v>-14918312.470000001</v>
      </c>
      <c r="M52" t="s">
        <v>58</v>
      </c>
      <c r="N52" t="s">
        <v>17</v>
      </c>
      <c r="O52" s="6">
        <v>0</v>
      </c>
    </row>
    <row r="53" spans="1:15" x14ac:dyDescent="0.3">
      <c r="A53" s="3">
        <v>1600004000</v>
      </c>
      <c r="B53" t="s">
        <v>56</v>
      </c>
      <c r="C53">
        <v>200077</v>
      </c>
      <c r="D53" t="str">
        <f>VLOOKUP(C53,'[1]CLIENTES '!C:D,2,FALSE)</f>
        <v>CORPORATIVO INTERNACIONAL MEXICANO</v>
      </c>
      <c r="E53" t="s">
        <v>14</v>
      </c>
      <c r="F53" s="4">
        <v>45747</v>
      </c>
      <c r="G53" s="4">
        <v>45747</v>
      </c>
      <c r="H53" s="5">
        <v>-4769520.29</v>
      </c>
      <c r="I53" t="s">
        <v>59</v>
      </c>
      <c r="J53">
        <v>1600004000</v>
      </c>
      <c r="K53" t="s">
        <v>59</v>
      </c>
      <c r="L53" s="5">
        <v>-4769520.29</v>
      </c>
      <c r="M53" t="s">
        <v>60</v>
      </c>
      <c r="N53" t="s">
        <v>17</v>
      </c>
      <c r="O53" s="6">
        <v>0</v>
      </c>
    </row>
    <row r="54" spans="1:15" x14ac:dyDescent="0.3">
      <c r="A54" s="3">
        <v>1600005500</v>
      </c>
      <c r="B54" t="s">
        <v>56</v>
      </c>
      <c r="C54">
        <v>200077</v>
      </c>
      <c r="D54" t="str">
        <f>VLOOKUP(C54,'[1]CLIENTES '!C:D,2,FALSE)</f>
        <v>CORPORATIVO INTERNACIONAL MEXICANO</v>
      </c>
      <c r="E54" t="s">
        <v>14</v>
      </c>
      <c r="F54" s="4">
        <v>45747</v>
      </c>
      <c r="G54" s="4">
        <v>45747</v>
      </c>
      <c r="H54" s="5">
        <v>4769520.29</v>
      </c>
      <c r="I54" t="s">
        <v>59</v>
      </c>
      <c r="J54">
        <v>1600005500</v>
      </c>
      <c r="K54" t="s">
        <v>59</v>
      </c>
      <c r="L54" s="5">
        <v>4769520.29</v>
      </c>
      <c r="M54" t="s">
        <v>60</v>
      </c>
      <c r="N54" t="s">
        <v>18</v>
      </c>
      <c r="O54" s="6">
        <v>0</v>
      </c>
    </row>
    <row r="55" spans="1:15" x14ac:dyDescent="0.3">
      <c r="A55" s="3">
        <v>1600007000</v>
      </c>
      <c r="B55" t="s">
        <v>56</v>
      </c>
      <c r="C55">
        <v>200077</v>
      </c>
      <c r="D55" t="str">
        <f>VLOOKUP(C55,'[1]CLIENTES '!C:D,2,FALSE)</f>
        <v>CORPORATIVO INTERNACIONAL MEXICANO</v>
      </c>
      <c r="E55" t="s">
        <v>14</v>
      </c>
      <c r="F55" s="4">
        <v>45747</v>
      </c>
      <c r="G55" s="4">
        <v>45747</v>
      </c>
      <c r="H55" s="5">
        <v>14918312.470000001</v>
      </c>
      <c r="I55" t="s">
        <v>57</v>
      </c>
      <c r="J55">
        <v>1600007000</v>
      </c>
      <c r="K55" t="s">
        <v>57</v>
      </c>
      <c r="L55" s="5">
        <v>14918312.470000001</v>
      </c>
      <c r="M55" t="s">
        <v>58</v>
      </c>
      <c r="N55" t="s">
        <v>18</v>
      </c>
      <c r="O55" s="6">
        <v>0</v>
      </c>
    </row>
    <row r="56" spans="1:15" x14ac:dyDescent="0.3">
      <c r="A56" s="3">
        <v>1600005000</v>
      </c>
      <c r="B56" t="s">
        <v>56</v>
      </c>
      <c r="C56">
        <v>200077</v>
      </c>
      <c r="D56" t="str">
        <f>VLOOKUP(C56,'[1]CLIENTES '!C:D,2,FALSE)</f>
        <v>CORPORATIVO INTERNACIONAL MEXICANO</v>
      </c>
      <c r="E56" t="s">
        <v>14</v>
      </c>
      <c r="F56" s="4">
        <v>45747</v>
      </c>
      <c r="G56" s="4">
        <v>45747</v>
      </c>
      <c r="H56" s="5">
        <v>14918312.470000001</v>
      </c>
      <c r="I56" t="s">
        <v>57</v>
      </c>
      <c r="J56">
        <v>1600005000</v>
      </c>
      <c r="K56" t="s">
        <v>57</v>
      </c>
      <c r="L56" s="5">
        <v>14918312.470000001</v>
      </c>
      <c r="M56" t="s">
        <v>58</v>
      </c>
      <c r="N56" t="s">
        <v>18</v>
      </c>
      <c r="O56" s="6">
        <v>0</v>
      </c>
    </row>
    <row r="57" spans="1:15" x14ac:dyDescent="0.3">
      <c r="A57" s="3">
        <v>1800010500</v>
      </c>
      <c r="B57" t="s">
        <v>56</v>
      </c>
      <c r="C57">
        <v>200077</v>
      </c>
      <c r="D57" t="str">
        <f>VLOOKUP(C57,'[1]CLIENTES '!C:D,2,FALSE)</f>
        <v>CORPORATIVO INTERNACIONAL MEXICANO</v>
      </c>
      <c r="E57" t="s">
        <v>14</v>
      </c>
      <c r="F57" s="4">
        <v>45747</v>
      </c>
      <c r="G57" s="4">
        <v>45747</v>
      </c>
      <c r="H57" s="5">
        <v>14918312.470000001</v>
      </c>
      <c r="I57" t="s">
        <v>57</v>
      </c>
      <c r="J57">
        <v>1800010500</v>
      </c>
      <c r="K57" t="s">
        <v>57</v>
      </c>
      <c r="L57" s="5">
        <v>14918312.470000001</v>
      </c>
      <c r="M57" t="s">
        <v>58</v>
      </c>
      <c r="N57" t="s">
        <v>21</v>
      </c>
      <c r="O57" s="6">
        <v>0</v>
      </c>
    </row>
    <row r="58" spans="1:15" x14ac:dyDescent="0.3">
      <c r="A58" s="3">
        <v>1600007500</v>
      </c>
      <c r="B58" t="s">
        <v>56</v>
      </c>
      <c r="C58">
        <v>200077</v>
      </c>
      <c r="D58" t="str">
        <f>VLOOKUP(C58,'[1]CLIENTES '!C:D,2,FALSE)</f>
        <v>CORPORATIVO INTERNACIONAL MEXICANO</v>
      </c>
      <c r="E58" t="s">
        <v>14</v>
      </c>
      <c r="F58" s="4">
        <v>45747</v>
      </c>
      <c r="G58" s="4">
        <v>45747</v>
      </c>
      <c r="H58" s="5">
        <v>-19683113.899999999</v>
      </c>
      <c r="I58" t="s">
        <v>57</v>
      </c>
      <c r="J58">
        <v>1600007500</v>
      </c>
      <c r="K58" t="s">
        <v>57</v>
      </c>
      <c r="L58" s="5">
        <v>-19683113.899999999</v>
      </c>
      <c r="M58" t="s">
        <v>58</v>
      </c>
      <c r="N58" t="s">
        <v>17</v>
      </c>
      <c r="O58" s="6">
        <v>255</v>
      </c>
    </row>
    <row r="59" spans="1:15" x14ac:dyDescent="0.3">
      <c r="A59" s="3">
        <v>1600008000</v>
      </c>
      <c r="B59" t="s">
        <v>56</v>
      </c>
      <c r="C59">
        <v>200077</v>
      </c>
      <c r="D59" t="str">
        <f>VLOOKUP(C59,'[1]CLIENTES '!C:D,2,FALSE)</f>
        <v>CORPORATIVO INTERNACIONAL MEXICANO</v>
      </c>
      <c r="E59" t="s">
        <v>14</v>
      </c>
      <c r="F59" s="4">
        <v>45747</v>
      </c>
      <c r="G59" s="4">
        <v>45747</v>
      </c>
      <c r="H59" s="5">
        <v>-4247194.58</v>
      </c>
      <c r="I59" t="s">
        <v>59</v>
      </c>
      <c r="J59">
        <v>1600008000</v>
      </c>
      <c r="K59" t="s">
        <v>59</v>
      </c>
      <c r="L59" s="5">
        <v>-4247194.58</v>
      </c>
      <c r="M59" t="s">
        <v>60</v>
      </c>
      <c r="N59" t="s">
        <v>17</v>
      </c>
      <c r="O59" s="6">
        <v>255</v>
      </c>
    </row>
    <row r="60" spans="1:15" x14ac:dyDescent="0.3">
      <c r="A60" s="3">
        <v>1600006000</v>
      </c>
      <c r="B60" t="s">
        <v>56</v>
      </c>
      <c r="C60">
        <v>200077</v>
      </c>
      <c r="D60" t="str">
        <f>VLOOKUP(C60,'[1]CLIENTES '!C:D,2,FALSE)</f>
        <v>CORPORATIVO INTERNACIONAL MEXICANO</v>
      </c>
      <c r="E60" t="s">
        <v>14</v>
      </c>
      <c r="F60" s="4">
        <v>45747</v>
      </c>
      <c r="G60" s="4">
        <v>45747</v>
      </c>
      <c r="H60" s="5">
        <v>-522325.71</v>
      </c>
      <c r="I60" t="s">
        <v>59</v>
      </c>
      <c r="J60">
        <v>1600006000</v>
      </c>
      <c r="K60" t="s">
        <v>59</v>
      </c>
      <c r="L60" s="5">
        <v>-522325.71</v>
      </c>
      <c r="M60" t="s">
        <v>60</v>
      </c>
      <c r="N60" t="s">
        <v>17</v>
      </c>
      <c r="O60" s="6">
        <v>255</v>
      </c>
    </row>
    <row r="61" spans="1:15" x14ac:dyDescent="0.3">
      <c r="A61" s="3">
        <v>1800010000</v>
      </c>
      <c r="B61" t="s">
        <v>56</v>
      </c>
      <c r="C61">
        <v>200077</v>
      </c>
      <c r="D61" t="str">
        <f>VLOOKUP(C61,'[1]CLIENTES '!C:D,2,FALSE)</f>
        <v>CORPORATIVO INTERNACIONAL MEXICANO</v>
      </c>
      <c r="E61" t="s">
        <v>14</v>
      </c>
      <c r="F61" s="4">
        <v>45747</v>
      </c>
      <c r="G61" s="4">
        <v>45747</v>
      </c>
      <c r="H61" s="5">
        <v>3071667.46</v>
      </c>
      <c r="I61" t="s">
        <v>61</v>
      </c>
      <c r="J61">
        <v>1800010000</v>
      </c>
      <c r="K61" t="s">
        <v>61</v>
      </c>
      <c r="L61" s="5">
        <v>3071667.46</v>
      </c>
      <c r="M61" t="s">
        <v>62</v>
      </c>
      <c r="N61" t="s">
        <v>21</v>
      </c>
      <c r="O61" s="6">
        <v>255</v>
      </c>
    </row>
    <row r="62" spans="1:15" x14ac:dyDescent="0.3">
      <c r="A62" s="3">
        <v>1800012000</v>
      </c>
      <c r="B62" t="s">
        <v>56</v>
      </c>
      <c r="C62">
        <v>200077</v>
      </c>
      <c r="D62" t="str">
        <f>VLOOKUP(C62,'[1]CLIENTES '!C:D,2,FALSE)</f>
        <v>CORPORATIVO INTERNACIONAL MEXICANO</v>
      </c>
      <c r="E62" t="s">
        <v>14</v>
      </c>
      <c r="F62" s="4">
        <v>45747</v>
      </c>
      <c r="G62" s="4">
        <v>45747</v>
      </c>
      <c r="H62" s="5">
        <v>4247194.58</v>
      </c>
      <c r="I62" t="s">
        <v>57</v>
      </c>
      <c r="J62">
        <v>1800012000</v>
      </c>
      <c r="K62" t="s">
        <v>57</v>
      </c>
      <c r="L62" s="5">
        <v>4247194.58</v>
      </c>
      <c r="M62" t="s">
        <v>58</v>
      </c>
      <c r="N62" t="s">
        <v>21</v>
      </c>
      <c r="O62" s="6">
        <v>255</v>
      </c>
    </row>
    <row r="63" spans="1:15" x14ac:dyDescent="0.3">
      <c r="A63" s="3">
        <v>1800011500</v>
      </c>
      <c r="B63" t="s">
        <v>56</v>
      </c>
      <c r="C63">
        <v>200077</v>
      </c>
      <c r="D63" t="str">
        <f>VLOOKUP(C63,'[1]CLIENTES '!C:D,2,FALSE)</f>
        <v>CORPORATIVO INTERNACIONAL MEXICANO</v>
      </c>
      <c r="E63" t="s">
        <v>14</v>
      </c>
      <c r="F63" s="4">
        <v>45747</v>
      </c>
      <c r="G63" s="4">
        <v>45747</v>
      </c>
      <c r="H63" s="5">
        <v>4764801.43</v>
      </c>
      <c r="I63" t="s">
        <v>57</v>
      </c>
      <c r="J63">
        <v>1800011500</v>
      </c>
      <c r="K63" t="s">
        <v>57</v>
      </c>
      <c r="L63" s="5">
        <v>4764801.43</v>
      </c>
      <c r="M63" t="s">
        <v>58</v>
      </c>
      <c r="N63" t="s">
        <v>21</v>
      </c>
      <c r="O63" s="6">
        <v>255</v>
      </c>
    </row>
    <row r="64" spans="1:15" x14ac:dyDescent="0.3">
      <c r="B64" t="s">
        <v>24</v>
      </c>
      <c r="C64">
        <v>200077</v>
      </c>
      <c r="D64" t="str">
        <f>VLOOKUP(C64,'[1]CLIENTES '!C:D,2,FALSE)</f>
        <v>CORPORATIVO INTERNACIONAL MEXICANO</v>
      </c>
      <c r="E64" t="s">
        <v>24</v>
      </c>
      <c r="F64" s="4"/>
      <c r="G64" s="4"/>
      <c r="H64" s="5">
        <v>-12368970.720000001</v>
      </c>
      <c r="I64" t="s">
        <v>24</v>
      </c>
      <c r="K64" t="s">
        <v>24</v>
      </c>
      <c r="L64" s="5">
        <v>-12368970.720000001</v>
      </c>
      <c r="M64" t="s">
        <v>24</v>
      </c>
      <c r="N64" t="s">
        <v>24</v>
      </c>
      <c r="O64" s="6"/>
    </row>
    <row r="65" spans="1:15" x14ac:dyDescent="0.3">
      <c r="A65" s="3">
        <v>1400005500</v>
      </c>
      <c r="B65" t="s">
        <v>56</v>
      </c>
      <c r="C65">
        <v>200093</v>
      </c>
      <c r="D65" t="str">
        <f>VLOOKUP(C65,'[1]CLIENTES '!C:D,2,FALSE)</f>
        <v>SABRITAS</v>
      </c>
      <c r="E65" t="s">
        <v>14</v>
      </c>
      <c r="F65" s="4">
        <v>45728</v>
      </c>
      <c r="G65" s="4">
        <v>45728</v>
      </c>
      <c r="H65" s="5">
        <v>-1425623</v>
      </c>
      <c r="I65" t="s">
        <v>54</v>
      </c>
      <c r="J65">
        <v>1400005500</v>
      </c>
      <c r="K65" t="s">
        <v>54</v>
      </c>
      <c r="L65" s="5">
        <v>-1425623</v>
      </c>
      <c r="M65" t="s">
        <v>26</v>
      </c>
      <c r="N65" t="s">
        <v>27</v>
      </c>
      <c r="O65" s="6">
        <v>16</v>
      </c>
    </row>
    <row r="66" spans="1:15" x14ac:dyDescent="0.3">
      <c r="A66" s="3">
        <v>1400005000</v>
      </c>
      <c r="B66" t="s">
        <v>56</v>
      </c>
      <c r="C66">
        <v>200093</v>
      </c>
      <c r="D66" t="str">
        <f>VLOOKUP(C66,'[1]CLIENTES '!C:D,2,FALSE)</f>
        <v>SABRITAS</v>
      </c>
      <c r="E66" t="s">
        <v>14</v>
      </c>
      <c r="F66" s="4">
        <v>45728</v>
      </c>
      <c r="G66" s="4">
        <v>45728</v>
      </c>
      <c r="H66" s="5">
        <v>-1208424</v>
      </c>
      <c r="I66" t="s">
        <v>53</v>
      </c>
      <c r="J66">
        <v>1400005000</v>
      </c>
      <c r="K66" t="s">
        <v>53</v>
      </c>
      <c r="L66" s="5">
        <v>-1208424</v>
      </c>
      <c r="M66" t="s">
        <v>26</v>
      </c>
      <c r="N66" t="s">
        <v>27</v>
      </c>
      <c r="O66" s="6">
        <v>16</v>
      </c>
    </row>
    <row r="67" spans="1:15" x14ac:dyDescent="0.3">
      <c r="A67" s="3">
        <v>1400004500</v>
      </c>
      <c r="B67" t="s">
        <v>56</v>
      </c>
      <c r="C67">
        <v>200093</v>
      </c>
      <c r="D67" t="str">
        <f>VLOOKUP(C67,'[1]CLIENTES '!C:D,2,FALSE)</f>
        <v>SABRITAS</v>
      </c>
      <c r="E67" t="s">
        <v>14</v>
      </c>
      <c r="F67" s="4">
        <v>45728</v>
      </c>
      <c r="G67" s="4">
        <v>45728</v>
      </c>
      <c r="H67" s="5">
        <v>-575445</v>
      </c>
      <c r="I67" t="s">
        <v>52</v>
      </c>
      <c r="J67">
        <v>1400004500</v>
      </c>
      <c r="K67" t="s">
        <v>52</v>
      </c>
      <c r="L67" s="5">
        <v>-575445</v>
      </c>
      <c r="M67" t="s">
        <v>26</v>
      </c>
      <c r="N67" t="s">
        <v>27</v>
      </c>
      <c r="O67" s="6">
        <v>16</v>
      </c>
    </row>
    <row r="68" spans="1:15" x14ac:dyDescent="0.3">
      <c r="A68" s="3">
        <v>1400004501</v>
      </c>
      <c r="B68" t="s">
        <v>56</v>
      </c>
      <c r="C68">
        <v>200093</v>
      </c>
      <c r="D68" t="str">
        <f>VLOOKUP(C68,'[1]CLIENTES '!C:D,2,FALSE)</f>
        <v>SABRITAS</v>
      </c>
      <c r="E68" t="s">
        <v>14</v>
      </c>
      <c r="F68" s="4">
        <v>45728</v>
      </c>
      <c r="G68" s="4">
        <v>45728</v>
      </c>
      <c r="H68" s="5">
        <v>-427547</v>
      </c>
      <c r="I68" t="s">
        <v>51</v>
      </c>
      <c r="J68">
        <v>1400004501</v>
      </c>
      <c r="K68" t="s">
        <v>51</v>
      </c>
      <c r="L68" s="5">
        <v>-427547</v>
      </c>
      <c r="M68" t="s">
        <v>26</v>
      </c>
      <c r="N68" t="s">
        <v>27</v>
      </c>
      <c r="O68" s="6">
        <v>16</v>
      </c>
    </row>
    <row r="69" spans="1:15" x14ac:dyDescent="0.3">
      <c r="A69" s="3">
        <v>100018501</v>
      </c>
      <c r="B69" t="s">
        <v>56</v>
      </c>
      <c r="C69">
        <v>200093</v>
      </c>
      <c r="D69" t="str">
        <f>VLOOKUP(C69,'[1]CLIENTES '!C:D,2,FALSE)</f>
        <v>SABRITAS</v>
      </c>
      <c r="E69" t="s">
        <v>14</v>
      </c>
      <c r="F69" s="4">
        <v>45728</v>
      </c>
      <c r="G69" s="4">
        <v>45728</v>
      </c>
      <c r="H69" s="5">
        <v>0</v>
      </c>
      <c r="I69" t="s">
        <v>24</v>
      </c>
      <c r="J69">
        <v>100018501</v>
      </c>
      <c r="K69" t="s">
        <v>24</v>
      </c>
      <c r="L69" s="5">
        <v>0</v>
      </c>
      <c r="M69" t="s">
        <v>24</v>
      </c>
      <c r="N69" t="s">
        <v>31</v>
      </c>
      <c r="O69" s="6">
        <v>0</v>
      </c>
    </row>
    <row r="70" spans="1:15" x14ac:dyDescent="0.3">
      <c r="A70" s="3">
        <v>100046500</v>
      </c>
      <c r="B70" t="s">
        <v>56</v>
      </c>
      <c r="C70">
        <v>200093</v>
      </c>
      <c r="D70" t="str">
        <f>VLOOKUP(C70,'[1]CLIENTES '!C:D,2,FALSE)</f>
        <v>SABRITAS</v>
      </c>
      <c r="E70" t="s">
        <v>14</v>
      </c>
      <c r="F70" s="4">
        <v>45728</v>
      </c>
      <c r="G70" s="4">
        <v>45728</v>
      </c>
      <c r="H70" s="5">
        <v>0</v>
      </c>
      <c r="I70" t="s">
        <v>24</v>
      </c>
      <c r="J70">
        <v>100046500</v>
      </c>
      <c r="K70" t="s">
        <v>24</v>
      </c>
      <c r="L70" s="5">
        <v>0</v>
      </c>
      <c r="M70" t="s">
        <v>24</v>
      </c>
      <c r="N70" t="s">
        <v>31</v>
      </c>
      <c r="O70" s="6">
        <v>0</v>
      </c>
    </row>
    <row r="71" spans="1:15" x14ac:dyDescent="0.3">
      <c r="A71" s="3">
        <v>100018502</v>
      </c>
      <c r="B71" t="s">
        <v>56</v>
      </c>
      <c r="C71">
        <v>200093</v>
      </c>
      <c r="D71" t="str">
        <f>VLOOKUP(C71,'[1]CLIENTES '!C:D,2,FALSE)</f>
        <v>SABRITAS</v>
      </c>
      <c r="E71" t="s">
        <v>14</v>
      </c>
      <c r="F71" s="4">
        <v>45728</v>
      </c>
      <c r="G71" s="4">
        <v>45728</v>
      </c>
      <c r="H71" s="5">
        <v>0</v>
      </c>
      <c r="I71" t="s">
        <v>24</v>
      </c>
      <c r="J71">
        <v>100018502</v>
      </c>
      <c r="K71" t="s">
        <v>24</v>
      </c>
      <c r="L71" s="5">
        <v>0</v>
      </c>
      <c r="M71" t="s">
        <v>24</v>
      </c>
      <c r="N71" t="s">
        <v>31</v>
      </c>
      <c r="O71" s="6">
        <v>0</v>
      </c>
    </row>
    <row r="72" spans="1:15" x14ac:dyDescent="0.3">
      <c r="A72" s="3">
        <v>100018503</v>
      </c>
      <c r="B72" t="s">
        <v>56</v>
      </c>
      <c r="C72">
        <v>200093</v>
      </c>
      <c r="D72" t="str">
        <f>VLOOKUP(C72,'[1]CLIENTES '!C:D,2,FALSE)</f>
        <v>SABRITAS</v>
      </c>
      <c r="E72" t="s">
        <v>14</v>
      </c>
      <c r="F72" s="4">
        <v>45728</v>
      </c>
      <c r="G72" s="4">
        <v>45728</v>
      </c>
      <c r="H72" s="5">
        <v>0</v>
      </c>
      <c r="I72" t="s">
        <v>24</v>
      </c>
      <c r="J72">
        <v>100018503</v>
      </c>
      <c r="K72" t="s">
        <v>24</v>
      </c>
      <c r="L72" s="5">
        <v>0</v>
      </c>
      <c r="M72" t="s">
        <v>24</v>
      </c>
      <c r="N72" t="s">
        <v>31</v>
      </c>
      <c r="O72" s="6">
        <v>0</v>
      </c>
    </row>
    <row r="73" spans="1:15" x14ac:dyDescent="0.3">
      <c r="A73" s="3">
        <v>1800007500</v>
      </c>
      <c r="B73" t="s">
        <v>56</v>
      </c>
      <c r="C73">
        <v>200093</v>
      </c>
      <c r="D73" t="str">
        <f>VLOOKUP(C73,'[1]CLIENTES '!C:D,2,FALSE)</f>
        <v>SABRITAS</v>
      </c>
      <c r="E73" t="s">
        <v>14</v>
      </c>
      <c r="F73" s="4">
        <v>45740</v>
      </c>
      <c r="G73" s="4">
        <v>45740</v>
      </c>
      <c r="H73" s="5">
        <v>427547</v>
      </c>
      <c r="I73" t="s">
        <v>63</v>
      </c>
      <c r="J73">
        <v>1800007500</v>
      </c>
      <c r="K73" t="s">
        <v>63</v>
      </c>
      <c r="L73" s="5">
        <v>427547</v>
      </c>
      <c r="M73" t="s">
        <v>33</v>
      </c>
      <c r="N73" t="s">
        <v>21</v>
      </c>
      <c r="O73" s="6">
        <v>21</v>
      </c>
    </row>
    <row r="74" spans="1:15" x14ac:dyDescent="0.3">
      <c r="A74" s="3">
        <v>1800007000</v>
      </c>
      <c r="B74" t="s">
        <v>56</v>
      </c>
      <c r="C74">
        <v>200093</v>
      </c>
      <c r="D74" t="str">
        <f>VLOOKUP(C74,'[1]CLIENTES '!C:D,2,FALSE)</f>
        <v>SABRITAS</v>
      </c>
      <c r="E74" t="s">
        <v>14</v>
      </c>
      <c r="F74" s="4">
        <v>45740</v>
      </c>
      <c r="G74" s="4">
        <v>45740</v>
      </c>
      <c r="H74" s="5">
        <v>575445</v>
      </c>
      <c r="I74" t="s">
        <v>64</v>
      </c>
      <c r="J74">
        <v>1800007000</v>
      </c>
      <c r="K74" t="s">
        <v>64</v>
      </c>
      <c r="L74" s="5">
        <v>575445</v>
      </c>
      <c r="M74" t="s">
        <v>35</v>
      </c>
      <c r="N74" t="s">
        <v>21</v>
      </c>
      <c r="O74" s="6">
        <v>21</v>
      </c>
    </row>
    <row r="75" spans="1:15" x14ac:dyDescent="0.3">
      <c r="A75" s="3">
        <v>1800008000</v>
      </c>
      <c r="B75" t="s">
        <v>56</v>
      </c>
      <c r="C75">
        <v>200093</v>
      </c>
      <c r="D75" t="str">
        <f>VLOOKUP(C75,'[1]CLIENTES '!C:D,2,FALSE)</f>
        <v>SABRITAS</v>
      </c>
      <c r="E75" t="s">
        <v>14</v>
      </c>
      <c r="F75" s="4">
        <v>45740</v>
      </c>
      <c r="G75" s="4">
        <v>45740</v>
      </c>
      <c r="H75" s="5">
        <v>1208424</v>
      </c>
      <c r="I75" t="s">
        <v>65</v>
      </c>
      <c r="J75">
        <v>1800008000</v>
      </c>
      <c r="K75" t="s">
        <v>65</v>
      </c>
      <c r="L75" s="5">
        <v>1208424</v>
      </c>
      <c r="M75" t="s">
        <v>37</v>
      </c>
      <c r="N75" t="s">
        <v>21</v>
      </c>
      <c r="O75" s="6">
        <v>21</v>
      </c>
    </row>
    <row r="76" spans="1:15" x14ac:dyDescent="0.3">
      <c r="A76" s="3">
        <v>1800009000</v>
      </c>
      <c r="B76" t="s">
        <v>56</v>
      </c>
      <c r="C76">
        <v>200093</v>
      </c>
      <c r="D76" t="str">
        <f>VLOOKUP(C76,'[1]CLIENTES '!C:D,2,FALSE)</f>
        <v>SABRITAS</v>
      </c>
      <c r="E76" t="s">
        <v>14</v>
      </c>
      <c r="F76" s="4">
        <v>45740</v>
      </c>
      <c r="G76" s="4">
        <v>45740</v>
      </c>
      <c r="H76" s="5">
        <v>1425623</v>
      </c>
      <c r="I76" t="s">
        <v>66</v>
      </c>
      <c r="J76">
        <v>1800009000</v>
      </c>
      <c r="K76" t="s">
        <v>66</v>
      </c>
      <c r="L76" s="5">
        <v>1425623</v>
      </c>
      <c r="M76" t="s">
        <v>39</v>
      </c>
      <c r="N76" t="s">
        <v>21</v>
      </c>
      <c r="O76" s="6">
        <v>21</v>
      </c>
    </row>
    <row r="77" spans="1:15" x14ac:dyDescent="0.3">
      <c r="B77" t="s">
        <v>24</v>
      </c>
      <c r="C77">
        <v>200093</v>
      </c>
      <c r="D77" t="str">
        <f>VLOOKUP(C77,'[1]CLIENTES '!C:D,2,FALSE)</f>
        <v>SABRITAS</v>
      </c>
      <c r="E77" t="s">
        <v>24</v>
      </c>
      <c r="F77" s="4"/>
      <c r="G77" s="4"/>
      <c r="H77" s="5">
        <v>0</v>
      </c>
      <c r="I77" t="s">
        <v>24</v>
      </c>
      <c r="K77" t="s">
        <v>24</v>
      </c>
      <c r="L77" s="5">
        <v>0</v>
      </c>
      <c r="M77" t="s">
        <v>24</v>
      </c>
      <c r="N77" t="s">
        <v>24</v>
      </c>
      <c r="O77" s="6"/>
    </row>
    <row r="78" spans="1:15" x14ac:dyDescent="0.3">
      <c r="A78" s="3">
        <v>1400004000</v>
      </c>
      <c r="B78" t="s">
        <v>56</v>
      </c>
      <c r="C78">
        <v>200841</v>
      </c>
      <c r="D78" t="str">
        <f>VLOOKUP(C78,'[1]CLIENTES '!C:D,2,FALSE)</f>
        <v>COMERCIALIZADORA PEPSICO MEXICO</v>
      </c>
      <c r="E78" t="s">
        <v>14</v>
      </c>
      <c r="F78" s="4">
        <v>45728</v>
      </c>
      <c r="G78" s="4">
        <v>45728</v>
      </c>
      <c r="H78" s="5">
        <v>-663746</v>
      </c>
      <c r="I78" t="s">
        <v>55</v>
      </c>
      <c r="J78">
        <v>1400004000</v>
      </c>
      <c r="K78" t="s">
        <v>55</v>
      </c>
      <c r="L78" s="5">
        <v>-663746</v>
      </c>
      <c r="M78" t="s">
        <v>26</v>
      </c>
      <c r="N78" t="s">
        <v>27</v>
      </c>
      <c r="O78" s="6">
        <v>16</v>
      </c>
    </row>
    <row r="79" spans="1:15" x14ac:dyDescent="0.3">
      <c r="A79" s="3">
        <v>100046000</v>
      </c>
      <c r="B79" t="s">
        <v>56</v>
      </c>
      <c r="C79">
        <v>200841</v>
      </c>
      <c r="D79" t="str">
        <f>VLOOKUP(C79,'[1]CLIENTES '!C:D,2,FALSE)</f>
        <v>COMERCIALIZADORA PEPSICO MEXICO</v>
      </c>
      <c r="E79" t="s">
        <v>14</v>
      </c>
      <c r="F79" s="4">
        <v>45728</v>
      </c>
      <c r="G79" s="4">
        <v>45728</v>
      </c>
      <c r="H79" s="5">
        <v>0</v>
      </c>
      <c r="I79" t="s">
        <v>24</v>
      </c>
      <c r="J79">
        <v>100046000</v>
      </c>
      <c r="K79" t="s">
        <v>24</v>
      </c>
      <c r="L79" s="5">
        <v>0</v>
      </c>
      <c r="M79" t="s">
        <v>24</v>
      </c>
      <c r="N79" t="s">
        <v>31</v>
      </c>
      <c r="O79" s="6">
        <v>0</v>
      </c>
    </row>
    <row r="80" spans="1:15" x14ac:dyDescent="0.3">
      <c r="A80" s="3">
        <v>1800008500</v>
      </c>
      <c r="B80" t="s">
        <v>56</v>
      </c>
      <c r="C80">
        <v>200841</v>
      </c>
      <c r="D80" t="str">
        <f>VLOOKUP(C80,'[1]CLIENTES '!C:D,2,FALSE)</f>
        <v>COMERCIALIZADORA PEPSICO MEXICO</v>
      </c>
      <c r="E80" t="s">
        <v>14</v>
      </c>
      <c r="F80" s="4">
        <v>45740</v>
      </c>
      <c r="G80" s="4">
        <v>45740</v>
      </c>
      <c r="H80" s="5">
        <v>663746</v>
      </c>
      <c r="I80" t="s">
        <v>67</v>
      </c>
      <c r="J80">
        <v>1800008500</v>
      </c>
      <c r="K80" t="s">
        <v>67</v>
      </c>
      <c r="L80" s="5">
        <v>663746</v>
      </c>
      <c r="M80" t="s">
        <v>42</v>
      </c>
      <c r="N80" t="s">
        <v>21</v>
      </c>
      <c r="O80" s="6">
        <v>12</v>
      </c>
    </row>
    <row r="81" spans="1:15" x14ac:dyDescent="0.3">
      <c r="B81" t="s">
        <v>24</v>
      </c>
      <c r="C81">
        <v>200841</v>
      </c>
      <c r="D81" t="str">
        <f>VLOOKUP(C81,'[1]CLIENTES '!C:D,2,FALSE)</f>
        <v>COMERCIALIZADORA PEPSICO MEXICO</v>
      </c>
      <c r="E81" t="s">
        <v>24</v>
      </c>
      <c r="F81" s="4"/>
      <c r="G81" s="4"/>
      <c r="H81" s="5">
        <v>0</v>
      </c>
      <c r="I81" t="s">
        <v>24</v>
      </c>
      <c r="K81" t="s">
        <v>24</v>
      </c>
      <c r="L81" s="5">
        <v>0</v>
      </c>
      <c r="M81" t="s">
        <v>24</v>
      </c>
      <c r="N81" t="s">
        <v>24</v>
      </c>
      <c r="O81" s="6"/>
    </row>
    <row r="82" spans="1:15" x14ac:dyDescent="0.3">
      <c r="A82" s="3">
        <v>1800009500</v>
      </c>
      <c r="B82" t="s">
        <v>56</v>
      </c>
      <c r="C82">
        <v>201271</v>
      </c>
      <c r="D82" t="str">
        <f>VLOOKUP(C82,'[1]CLIENTES '!C:D,2,FALSE)</f>
        <v>PEPSICO STRAUSS FRESH DIPS &amp;</v>
      </c>
      <c r="E82" t="s">
        <v>14</v>
      </c>
      <c r="F82" s="4">
        <v>45747</v>
      </c>
      <c r="G82" s="4">
        <v>45747</v>
      </c>
      <c r="H82" s="5">
        <v>645794.04</v>
      </c>
      <c r="I82" t="s">
        <v>68</v>
      </c>
      <c r="J82">
        <v>1800009500</v>
      </c>
      <c r="K82" t="s">
        <v>68</v>
      </c>
      <c r="L82" s="5">
        <v>645794.04</v>
      </c>
      <c r="M82" t="s">
        <v>69</v>
      </c>
      <c r="N82" t="s">
        <v>21</v>
      </c>
      <c r="O82" s="6">
        <v>-1</v>
      </c>
    </row>
    <row r="83" spans="1:15" x14ac:dyDescent="0.3">
      <c r="B83" t="s">
        <v>24</v>
      </c>
      <c r="C83">
        <v>201271</v>
      </c>
      <c r="D83" t="str">
        <f>VLOOKUP(C83,'[1]CLIENTES '!C:D,2,FALSE)</f>
        <v>PEPSICO STRAUSS FRESH DIPS &amp;</v>
      </c>
      <c r="E83" t="s">
        <v>24</v>
      </c>
      <c r="F83" s="4"/>
      <c r="G83" s="4"/>
      <c r="H83" s="5">
        <v>645794.04</v>
      </c>
      <c r="I83" t="s">
        <v>24</v>
      </c>
      <c r="K83" t="s">
        <v>24</v>
      </c>
      <c r="L83" s="5">
        <v>645794.04</v>
      </c>
      <c r="M83" t="s">
        <v>24</v>
      </c>
      <c r="N83" t="s">
        <v>24</v>
      </c>
      <c r="O83" s="6"/>
    </row>
    <row r="84" spans="1:15" x14ac:dyDescent="0.3">
      <c r="A84" s="3">
        <v>1600008500</v>
      </c>
      <c r="B84" t="s">
        <v>70</v>
      </c>
      <c r="C84">
        <v>200077</v>
      </c>
      <c r="D84" t="str">
        <f>VLOOKUP(C84,'[1]CLIENTES '!C:D,2,FALSE)</f>
        <v>CORPORATIVO INTERNACIONAL MEXICANO</v>
      </c>
      <c r="E84" t="s">
        <v>14</v>
      </c>
      <c r="F84" s="4">
        <v>45777</v>
      </c>
      <c r="G84" s="4">
        <v>45777</v>
      </c>
      <c r="H84" s="5">
        <v>-75960.97</v>
      </c>
      <c r="I84" t="s">
        <v>71</v>
      </c>
      <c r="J84">
        <v>1600008500</v>
      </c>
      <c r="K84" t="s">
        <v>71</v>
      </c>
      <c r="L84" s="5">
        <v>-75960.97</v>
      </c>
      <c r="M84" t="s">
        <v>72</v>
      </c>
      <c r="N84" t="s">
        <v>17</v>
      </c>
      <c r="O84" s="6">
        <v>0</v>
      </c>
    </row>
    <row r="85" spans="1:15" x14ac:dyDescent="0.3">
      <c r="A85" s="3">
        <v>1600009000</v>
      </c>
      <c r="B85" t="s">
        <v>70</v>
      </c>
      <c r="C85">
        <v>200077</v>
      </c>
      <c r="D85" t="str">
        <f>VLOOKUP(C85,'[1]CLIENTES '!C:D,2,FALSE)</f>
        <v>CORPORATIVO INTERNACIONAL MEXICANO</v>
      </c>
      <c r="E85" t="s">
        <v>14</v>
      </c>
      <c r="F85" s="4">
        <v>45777</v>
      </c>
      <c r="G85" s="4">
        <v>45777</v>
      </c>
      <c r="H85" s="5">
        <v>75960.97</v>
      </c>
      <c r="I85" t="s">
        <v>71</v>
      </c>
      <c r="J85">
        <v>1600009000</v>
      </c>
      <c r="K85" t="s">
        <v>71</v>
      </c>
      <c r="L85" s="5">
        <v>75960.97</v>
      </c>
      <c r="M85" t="s">
        <v>72</v>
      </c>
      <c r="N85" t="s">
        <v>18</v>
      </c>
      <c r="O85" s="6">
        <v>0</v>
      </c>
    </row>
    <row r="86" spans="1:15" x14ac:dyDescent="0.3">
      <c r="A86" s="3">
        <v>1600010500</v>
      </c>
      <c r="B86" t="s">
        <v>70</v>
      </c>
      <c r="C86">
        <v>200077</v>
      </c>
      <c r="D86" t="str">
        <f>VLOOKUP(C86,'[1]CLIENTES '!C:D,2,FALSE)</f>
        <v>CORPORATIVO INTERNACIONAL MEXICANO</v>
      </c>
      <c r="E86" t="s">
        <v>14</v>
      </c>
      <c r="F86" s="4">
        <v>45777</v>
      </c>
      <c r="G86" s="4">
        <v>45777</v>
      </c>
      <c r="H86" s="5">
        <v>-1435926.92</v>
      </c>
      <c r="I86" t="s">
        <v>71</v>
      </c>
      <c r="J86">
        <v>1600010500</v>
      </c>
      <c r="K86" t="s">
        <v>71</v>
      </c>
      <c r="L86" s="5">
        <v>-1435926.92</v>
      </c>
      <c r="M86" t="s">
        <v>73</v>
      </c>
      <c r="N86" t="s">
        <v>17</v>
      </c>
      <c r="O86" s="6">
        <v>225</v>
      </c>
    </row>
    <row r="87" spans="1:15" x14ac:dyDescent="0.3">
      <c r="A87" s="3">
        <v>1600010000</v>
      </c>
      <c r="B87" t="s">
        <v>70</v>
      </c>
      <c r="C87">
        <v>200077</v>
      </c>
      <c r="D87" t="str">
        <f>VLOOKUP(C87,'[1]CLIENTES '!C:D,2,FALSE)</f>
        <v>CORPORATIVO INTERNACIONAL MEXICANO</v>
      </c>
      <c r="E87" t="s">
        <v>14</v>
      </c>
      <c r="F87" s="4">
        <v>45777</v>
      </c>
      <c r="G87" s="4">
        <v>45777</v>
      </c>
      <c r="H87" s="5">
        <v>-332309.64</v>
      </c>
      <c r="I87" t="s">
        <v>74</v>
      </c>
      <c r="J87">
        <v>1600010000</v>
      </c>
      <c r="K87" t="s">
        <v>74</v>
      </c>
      <c r="L87" s="5">
        <v>-332309.64</v>
      </c>
      <c r="M87" t="s">
        <v>75</v>
      </c>
      <c r="N87" t="s">
        <v>17</v>
      </c>
      <c r="O87" s="6">
        <v>225</v>
      </c>
    </row>
    <row r="88" spans="1:15" x14ac:dyDescent="0.3">
      <c r="A88" s="3">
        <v>1600009500</v>
      </c>
      <c r="B88" t="s">
        <v>70</v>
      </c>
      <c r="C88">
        <v>200077</v>
      </c>
      <c r="D88" t="str">
        <f>VLOOKUP(C88,'[1]CLIENTES '!C:D,2,FALSE)</f>
        <v>CORPORATIVO INTERNACIONAL MEXICANO</v>
      </c>
      <c r="E88" t="s">
        <v>14</v>
      </c>
      <c r="F88" s="4">
        <v>45777</v>
      </c>
      <c r="G88" s="4">
        <v>45777</v>
      </c>
      <c r="H88" s="5">
        <v>-75960.97</v>
      </c>
      <c r="I88" t="s">
        <v>71</v>
      </c>
      <c r="J88">
        <v>1600009500</v>
      </c>
      <c r="K88" t="s">
        <v>71</v>
      </c>
      <c r="L88" s="5">
        <v>-75960.97</v>
      </c>
      <c r="M88" t="s">
        <v>72</v>
      </c>
      <c r="N88" t="s">
        <v>17</v>
      </c>
      <c r="O88" s="6">
        <v>225</v>
      </c>
    </row>
    <row r="89" spans="1:15" x14ac:dyDescent="0.3">
      <c r="A89" s="3">
        <v>1800017000</v>
      </c>
      <c r="B89" t="s">
        <v>70</v>
      </c>
      <c r="C89">
        <v>200077</v>
      </c>
      <c r="D89" t="str">
        <f>VLOOKUP(C89,'[1]CLIENTES '!C:D,2,FALSE)</f>
        <v>CORPORATIVO INTERNACIONAL MEXICANO</v>
      </c>
      <c r="E89" t="s">
        <v>14</v>
      </c>
      <c r="F89" s="4">
        <v>45777</v>
      </c>
      <c r="G89" s="4">
        <v>45777</v>
      </c>
      <c r="H89" s="5">
        <v>1435926.92</v>
      </c>
      <c r="I89" t="s">
        <v>74</v>
      </c>
      <c r="J89">
        <v>1800017000</v>
      </c>
      <c r="K89" t="s">
        <v>74</v>
      </c>
      <c r="L89" s="5">
        <v>1435926.92</v>
      </c>
      <c r="M89" t="s">
        <v>75</v>
      </c>
      <c r="N89" t="s">
        <v>21</v>
      </c>
      <c r="O89" s="6">
        <v>225</v>
      </c>
    </row>
    <row r="90" spans="1:15" x14ac:dyDescent="0.3">
      <c r="A90" s="3">
        <v>1800016500</v>
      </c>
      <c r="B90" t="s">
        <v>70</v>
      </c>
      <c r="C90">
        <v>200077</v>
      </c>
      <c r="D90" t="str">
        <f>VLOOKUP(C90,'[1]CLIENTES '!C:D,2,FALSE)</f>
        <v>CORPORATIVO INTERNACIONAL MEXICANO</v>
      </c>
      <c r="E90" t="s">
        <v>14</v>
      </c>
      <c r="F90" s="4">
        <v>45777</v>
      </c>
      <c r="G90" s="4">
        <v>45777</v>
      </c>
      <c r="H90" s="5">
        <v>2807527.22</v>
      </c>
      <c r="I90" t="s">
        <v>76</v>
      </c>
      <c r="J90">
        <v>1800016500</v>
      </c>
      <c r="K90" t="s">
        <v>76</v>
      </c>
      <c r="L90" s="5">
        <v>2807527.22</v>
      </c>
      <c r="M90" t="s">
        <v>72</v>
      </c>
      <c r="N90" t="s">
        <v>21</v>
      </c>
      <c r="O90" s="6">
        <v>225</v>
      </c>
    </row>
    <row r="91" spans="1:15" x14ac:dyDescent="0.3">
      <c r="B91" t="s">
        <v>24</v>
      </c>
      <c r="C91">
        <v>200077</v>
      </c>
      <c r="D91" t="str">
        <f>VLOOKUP(C91,'[1]CLIENTES '!C:D,2,FALSE)</f>
        <v>CORPORATIVO INTERNACIONAL MEXICANO</v>
      </c>
      <c r="E91" t="s">
        <v>24</v>
      </c>
      <c r="F91" s="4"/>
      <c r="G91" s="4"/>
      <c r="H91" s="5">
        <v>2399256.61</v>
      </c>
      <c r="I91" t="s">
        <v>24</v>
      </c>
      <c r="K91" t="s">
        <v>24</v>
      </c>
      <c r="L91" s="5">
        <v>2399256.61</v>
      </c>
      <c r="M91" t="s">
        <v>24</v>
      </c>
      <c r="N91" t="s">
        <v>24</v>
      </c>
      <c r="O91" s="6"/>
    </row>
    <row r="92" spans="1:15" x14ac:dyDescent="0.3">
      <c r="A92" s="3">
        <v>1400008000</v>
      </c>
      <c r="B92" t="s">
        <v>70</v>
      </c>
      <c r="C92">
        <v>200093</v>
      </c>
      <c r="D92" t="str">
        <f>VLOOKUP(C92,'[1]CLIENTES '!C:D,2,FALSE)</f>
        <v>SABRITAS</v>
      </c>
      <c r="E92" t="s">
        <v>14</v>
      </c>
      <c r="F92" s="4">
        <v>45761</v>
      </c>
      <c r="G92" s="4">
        <v>45758</v>
      </c>
      <c r="H92" s="5">
        <v>-1425623</v>
      </c>
      <c r="I92" t="s">
        <v>66</v>
      </c>
      <c r="J92">
        <v>1400008000</v>
      </c>
      <c r="K92" t="s">
        <v>66</v>
      </c>
      <c r="L92" s="5">
        <v>-1425623</v>
      </c>
      <c r="M92" t="s">
        <v>26</v>
      </c>
      <c r="N92" t="s">
        <v>27</v>
      </c>
      <c r="O92" s="6">
        <v>21</v>
      </c>
    </row>
    <row r="93" spans="1:15" x14ac:dyDescent="0.3">
      <c r="A93" s="3">
        <v>1400007500</v>
      </c>
      <c r="B93" t="s">
        <v>70</v>
      </c>
      <c r="C93">
        <v>200093</v>
      </c>
      <c r="D93" t="str">
        <f>VLOOKUP(C93,'[1]CLIENTES '!C:D,2,FALSE)</f>
        <v>SABRITAS</v>
      </c>
      <c r="E93" t="s">
        <v>14</v>
      </c>
      <c r="F93" s="4">
        <v>45761</v>
      </c>
      <c r="G93" s="4">
        <v>45758</v>
      </c>
      <c r="H93" s="5">
        <v>-1208424</v>
      </c>
      <c r="I93" t="s">
        <v>65</v>
      </c>
      <c r="J93">
        <v>1400007500</v>
      </c>
      <c r="K93" t="s">
        <v>65</v>
      </c>
      <c r="L93" s="5">
        <v>-1208424</v>
      </c>
      <c r="M93" t="s">
        <v>26</v>
      </c>
      <c r="N93" t="s">
        <v>27</v>
      </c>
      <c r="O93" s="6">
        <v>21</v>
      </c>
    </row>
    <row r="94" spans="1:15" x14ac:dyDescent="0.3">
      <c r="A94" s="3">
        <v>1400006500</v>
      </c>
      <c r="B94" t="s">
        <v>70</v>
      </c>
      <c r="C94">
        <v>200093</v>
      </c>
      <c r="D94" t="str">
        <f>VLOOKUP(C94,'[1]CLIENTES '!C:D,2,FALSE)</f>
        <v>SABRITAS</v>
      </c>
      <c r="E94" t="s">
        <v>14</v>
      </c>
      <c r="F94" s="4">
        <v>45761</v>
      </c>
      <c r="G94" s="4">
        <v>45758</v>
      </c>
      <c r="H94" s="5">
        <v>-575445</v>
      </c>
      <c r="I94" t="s">
        <v>64</v>
      </c>
      <c r="J94">
        <v>1400006500</v>
      </c>
      <c r="K94" t="s">
        <v>64</v>
      </c>
      <c r="L94" s="5">
        <v>-575445</v>
      </c>
      <c r="M94" t="s">
        <v>26</v>
      </c>
      <c r="N94" t="s">
        <v>27</v>
      </c>
      <c r="O94" s="6">
        <v>21</v>
      </c>
    </row>
    <row r="95" spans="1:15" x14ac:dyDescent="0.3">
      <c r="A95" s="3">
        <v>1400007000</v>
      </c>
      <c r="B95" t="s">
        <v>70</v>
      </c>
      <c r="C95">
        <v>200093</v>
      </c>
      <c r="D95" t="str">
        <f>VLOOKUP(C95,'[1]CLIENTES '!C:D,2,FALSE)</f>
        <v>SABRITAS</v>
      </c>
      <c r="E95" t="s">
        <v>14</v>
      </c>
      <c r="F95" s="4">
        <v>45761</v>
      </c>
      <c r="G95" s="4">
        <v>45758</v>
      </c>
      <c r="H95" s="5">
        <v>-427547</v>
      </c>
      <c r="I95" t="s">
        <v>63</v>
      </c>
      <c r="J95">
        <v>1400007000</v>
      </c>
      <c r="K95" t="s">
        <v>63</v>
      </c>
      <c r="L95" s="5">
        <v>-427547</v>
      </c>
      <c r="M95" t="s">
        <v>26</v>
      </c>
      <c r="N95" t="s">
        <v>27</v>
      </c>
      <c r="O95" s="6">
        <v>21</v>
      </c>
    </row>
    <row r="96" spans="1:15" x14ac:dyDescent="0.3">
      <c r="A96" s="3">
        <v>1400009000</v>
      </c>
      <c r="B96" t="s">
        <v>70</v>
      </c>
      <c r="C96">
        <v>200093</v>
      </c>
      <c r="D96" t="str">
        <f>VLOOKUP(C96,'[1]CLIENTES '!C:D,2,FALSE)</f>
        <v>SABRITAS</v>
      </c>
      <c r="E96" t="s">
        <v>14</v>
      </c>
      <c r="F96" s="4">
        <v>45777</v>
      </c>
      <c r="G96" s="4">
        <v>45777</v>
      </c>
      <c r="H96" s="5">
        <v>-261182.5</v>
      </c>
      <c r="I96" t="s">
        <v>77</v>
      </c>
      <c r="J96">
        <v>1400009000</v>
      </c>
      <c r="K96" t="s">
        <v>77</v>
      </c>
      <c r="L96" s="5">
        <v>-261182.5</v>
      </c>
      <c r="M96" t="s">
        <v>26</v>
      </c>
      <c r="N96" t="s">
        <v>27</v>
      </c>
      <c r="O96" s="6">
        <v>7</v>
      </c>
    </row>
    <row r="97" spans="1:15" x14ac:dyDescent="0.3">
      <c r="A97" s="3">
        <v>1400009500</v>
      </c>
      <c r="B97" t="s">
        <v>70</v>
      </c>
      <c r="C97">
        <v>200093</v>
      </c>
      <c r="D97" t="str">
        <f>VLOOKUP(C97,'[1]CLIENTES '!C:D,2,FALSE)</f>
        <v>SABRITAS</v>
      </c>
      <c r="E97" t="s">
        <v>14</v>
      </c>
      <c r="F97" s="4">
        <v>45777</v>
      </c>
      <c r="G97" s="4">
        <v>45777</v>
      </c>
      <c r="H97" s="5">
        <v>-168118.8</v>
      </c>
      <c r="I97" t="s">
        <v>78</v>
      </c>
      <c r="J97">
        <v>1400009500</v>
      </c>
      <c r="K97" t="s">
        <v>78</v>
      </c>
      <c r="L97" s="5">
        <v>-168118.8</v>
      </c>
      <c r="M97" t="s">
        <v>26</v>
      </c>
      <c r="N97" t="s">
        <v>27</v>
      </c>
      <c r="O97" s="6">
        <v>7</v>
      </c>
    </row>
    <row r="98" spans="1:15" x14ac:dyDescent="0.3">
      <c r="A98" s="3">
        <v>100082500</v>
      </c>
      <c r="B98" t="s">
        <v>70</v>
      </c>
      <c r="C98">
        <v>200093</v>
      </c>
      <c r="D98" t="str">
        <f>VLOOKUP(C98,'[1]CLIENTES '!C:D,2,FALSE)</f>
        <v>SABRITAS</v>
      </c>
      <c r="E98" t="s">
        <v>14</v>
      </c>
      <c r="F98" s="4">
        <v>45777</v>
      </c>
      <c r="G98" s="4">
        <v>45777</v>
      </c>
      <c r="H98" s="5">
        <v>0</v>
      </c>
      <c r="I98" t="s">
        <v>24</v>
      </c>
      <c r="J98">
        <v>100082500</v>
      </c>
      <c r="K98" t="s">
        <v>24</v>
      </c>
      <c r="L98" s="5">
        <v>0</v>
      </c>
      <c r="M98" t="s">
        <v>24</v>
      </c>
      <c r="N98" t="s">
        <v>31</v>
      </c>
      <c r="O98" s="6">
        <v>0</v>
      </c>
    </row>
    <row r="99" spans="1:15" x14ac:dyDescent="0.3">
      <c r="A99" s="3">
        <v>100083000</v>
      </c>
      <c r="B99" t="s">
        <v>70</v>
      </c>
      <c r="C99">
        <v>200093</v>
      </c>
      <c r="D99" t="str">
        <f>VLOOKUP(C99,'[1]CLIENTES '!C:D,2,FALSE)</f>
        <v>SABRITAS</v>
      </c>
      <c r="E99" t="s">
        <v>14</v>
      </c>
      <c r="F99" s="4">
        <v>45777</v>
      </c>
      <c r="G99" s="4">
        <v>45777</v>
      </c>
      <c r="H99" s="5">
        <v>0</v>
      </c>
      <c r="I99" t="s">
        <v>24</v>
      </c>
      <c r="J99">
        <v>100083000</v>
      </c>
      <c r="K99" t="s">
        <v>24</v>
      </c>
      <c r="L99" s="5">
        <v>0</v>
      </c>
      <c r="M99" t="s">
        <v>24</v>
      </c>
      <c r="N99" t="s">
        <v>31</v>
      </c>
      <c r="O99" s="6">
        <v>0</v>
      </c>
    </row>
    <row r="100" spans="1:15" x14ac:dyDescent="0.3">
      <c r="A100" s="3">
        <v>100067000</v>
      </c>
      <c r="B100" t="s">
        <v>70</v>
      </c>
      <c r="C100">
        <v>200093</v>
      </c>
      <c r="D100" t="str">
        <f>VLOOKUP(C100,'[1]CLIENTES '!C:D,2,FALSE)</f>
        <v>SABRITAS</v>
      </c>
      <c r="E100" t="s">
        <v>14</v>
      </c>
      <c r="F100" s="4">
        <v>45761</v>
      </c>
      <c r="G100" s="4">
        <v>45761</v>
      </c>
      <c r="H100" s="5">
        <v>0</v>
      </c>
      <c r="I100" t="s">
        <v>24</v>
      </c>
      <c r="J100">
        <v>100067000</v>
      </c>
      <c r="K100" t="s">
        <v>24</v>
      </c>
      <c r="L100" s="5">
        <v>0</v>
      </c>
      <c r="M100" t="s">
        <v>24</v>
      </c>
      <c r="N100" t="s">
        <v>31</v>
      </c>
      <c r="O100" s="6">
        <v>0</v>
      </c>
    </row>
    <row r="101" spans="1:15" x14ac:dyDescent="0.3">
      <c r="A101" s="3">
        <v>100067001</v>
      </c>
      <c r="B101" t="s">
        <v>70</v>
      </c>
      <c r="C101">
        <v>200093</v>
      </c>
      <c r="D101" t="str">
        <f>VLOOKUP(C101,'[1]CLIENTES '!C:D,2,FALSE)</f>
        <v>SABRITAS</v>
      </c>
      <c r="E101" t="s">
        <v>14</v>
      </c>
      <c r="F101" s="4">
        <v>45761</v>
      </c>
      <c r="G101" s="4">
        <v>45761</v>
      </c>
      <c r="H101" s="5">
        <v>0</v>
      </c>
      <c r="I101" t="s">
        <v>24</v>
      </c>
      <c r="J101">
        <v>100067001</v>
      </c>
      <c r="K101" t="s">
        <v>24</v>
      </c>
      <c r="L101" s="5">
        <v>0</v>
      </c>
      <c r="M101" t="s">
        <v>24</v>
      </c>
      <c r="N101" t="s">
        <v>31</v>
      </c>
      <c r="O101" s="6">
        <v>0</v>
      </c>
    </row>
    <row r="102" spans="1:15" x14ac:dyDescent="0.3">
      <c r="A102" s="3">
        <v>100067500</v>
      </c>
      <c r="B102" t="s">
        <v>70</v>
      </c>
      <c r="C102">
        <v>200093</v>
      </c>
      <c r="D102" t="str">
        <f>VLOOKUP(C102,'[1]CLIENTES '!C:D,2,FALSE)</f>
        <v>SABRITAS</v>
      </c>
      <c r="E102" t="s">
        <v>14</v>
      </c>
      <c r="F102" s="4">
        <v>45761</v>
      </c>
      <c r="G102" s="4">
        <v>45761</v>
      </c>
      <c r="H102" s="5">
        <v>0</v>
      </c>
      <c r="I102" t="s">
        <v>24</v>
      </c>
      <c r="J102">
        <v>100067500</v>
      </c>
      <c r="K102" t="s">
        <v>24</v>
      </c>
      <c r="L102" s="5">
        <v>0</v>
      </c>
      <c r="M102" t="s">
        <v>24</v>
      </c>
      <c r="N102" t="s">
        <v>31</v>
      </c>
      <c r="O102" s="6">
        <v>0</v>
      </c>
    </row>
    <row r="103" spans="1:15" x14ac:dyDescent="0.3">
      <c r="A103" s="3">
        <v>100068000</v>
      </c>
      <c r="B103" t="s">
        <v>70</v>
      </c>
      <c r="C103">
        <v>200093</v>
      </c>
      <c r="D103" t="str">
        <f>VLOOKUP(C103,'[1]CLIENTES '!C:D,2,FALSE)</f>
        <v>SABRITAS</v>
      </c>
      <c r="E103" t="s">
        <v>14</v>
      </c>
      <c r="F103" s="4">
        <v>45761</v>
      </c>
      <c r="G103" s="4">
        <v>45761</v>
      </c>
      <c r="H103" s="5">
        <v>0</v>
      </c>
      <c r="I103" t="s">
        <v>24</v>
      </c>
      <c r="J103">
        <v>100068000</v>
      </c>
      <c r="K103" t="s">
        <v>24</v>
      </c>
      <c r="L103" s="5">
        <v>0</v>
      </c>
      <c r="M103" t="s">
        <v>24</v>
      </c>
      <c r="N103" t="s">
        <v>31</v>
      </c>
      <c r="O103" s="6">
        <v>0</v>
      </c>
    </row>
    <row r="104" spans="1:15" x14ac:dyDescent="0.3">
      <c r="A104" s="3">
        <v>1800013000</v>
      </c>
      <c r="B104" t="s">
        <v>70</v>
      </c>
      <c r="C104">
        <v>200093</v>
      </c>
      <c r="D104" t="str">
        <f>VLOOKUP(C104,'[1]CLIENTES '!C:D,2,FALSE)</f>
        <v>SABRITAS</v>
      </c>
      <c r="E104" t="s">
        <v>14</v>
      </c>
      <c r="F104" s="4">
        <v>45770</v>
      </c>
      <c r="G104" s="4">
        <v>45770</v>
      </c>
      <c r="H104" s="5">
        <v>168118.8</v>
      </c>
      <c r="I104" t="s">
        <v>78</v>
      </c>
      <c r="J104">
        <v>1800013000</v>
      </c>
      <c r="K104" t="s">
        <v>78</v>
      </c>
      <c r="L104" s="5">
        <v>168118.8</v>
      </c>
      <c r="M104" t="s">
        <v>79</v>
      </c>
      <c r="N104" t="s">
        <v>21</v>
      </c>
      <c r="O104" s="6">
        <v>7</v>
      </c>
    </row>
    <row r="105" spans="1:15" x14ac:dyDescent="0.3">
      <c r="A105" s="3">
        <v>1800012500</v>
      </c>
      <c r="B105" t="s">
        <v>70</v>
      </c>
      <c r="C105">
        <v>200093</v>
      </c>
      <c r="D105" t="str">
        <f>VLOOKUP(C105,'[1]CLIENTES '!C:D,2,FALSE)</f>
        <v>SABRITAS</v>
      </c>
      <c r="E105" t="s">
        <v>14</v>
      </c>
      <c r="F105" s="4">
        <v>45770</v>
      </c>
      <c r="G105" s="4">
        <v>45770</v>
      </c>
      <c r="H105" s="5">
        <v>261182.5</v>
      </c>
      <c r="I105" t="s">
        <v>77</v>
      </c>
      <c r="J105">
        <v>1800012500</v>
      </c>
      <c r="K105" t="s">
        <v>77</v>
      </c>
      <c r="L105" s="5">
        <v>261182.5</v>
      </c>
      <c r="M105" t="s">
        <v>79</v>
      </c>
      <c r="N105" t="s">
        <v>21</v>
      </c>
      <c r="O105" s="6">
        <v>7</v>
      </c>
    </row>
    <row r="106" spans="1:15" x14ac:dyDescent="0.3">
      <c r="A106" s="3">
        <v>1800014000</v>
      </c>
      <c r="B106" t="s">
        <v>70</v>
      </c>
      <c r="C106">
        <v>200093</v>
      </c>
      <c r="D106" t="str">
        <f>VLOOKUP(C106,'[1]CLIENTES '!C:D,2,FALSE)</f>
        <v>SABRITAS</v>
      </c>
      <c r="E106" t="s">
        <v>14</v>
      </c>
      <c r="F106" s="4">
        <v>45771</v>
      </c>
      <c r="G106" s="4">
        <v>45771</v>
      </c>
      <c r="H106" s="5">
        <v>427547</v>
      </c>
      <c r="I106" t="s">
        <v>80</v>
      </c>
      <c r="J106">
        <v>1800014000</v>
      </c>
      <c r="K106" t="s">
        <v>80</v>
      </c>
      <c r="L106" s="5">
        <v>427547</v>
      </c>
      <c r="M106" t="s">
        <v>33</v>
      </c>
      <c r="N106" t="s">
        <v>21</v>
      </c>
      <c r="O106" s="6">
        <v>19</v>
      </c>
    </row>
    <row r="107" spans="1:15" x14ac:dyDescent="0.3">
      <c r="A107" s="3">
        <v>1800013500</v>
      </c>
      <c r="B107" t="s">
        <v>70</v>
      </c>
      <c r="C107">
        <v>200093</v>
      </c>
      <c r="D107" t="str">
        <f>VLOOKUP(C107,'[1]CLIENTES '!C:D,2,FALSE)</f>
        <v>SABRITAS</v>
      </c>
      <c r="E107" t="s">
        <v>14</v>
      </c>
      <c r="F107" s="4">
        <v>45771</v>
      </c>
      <c r="G107" s="4">
        <v>45771</v>
      </c>
      <c r="H107" s="5">
        <v>575445</v>
      </c>
      <c r="I107" t="s">
        <v>81</v>
      </c>
      <c r="J107">
        <v>1800013500</v>
      </c>
      <c r="K107" t="s">
        <v>81</v>
      </c>
      <c r="L107" s="5">
        <v>575445</v>
      </c>
      <c r="M107" t="s">
        <v>35</v>
      </c>
      <c r="N107" t="s">
        <v>21</v>
      </c>
      <c r="O107" s="6">
        <v>19</v>
      </c>
    </row>
    <row r="108" spans="1:15" x14ac:dyDescent="0.3">
      <c r="A108" s="3">
        <v>1800014500</v>
      </c>
      <c r="B108" t="s">
        <v>70</v>
      </c>
      <c r="C108">
        <v>200093</v>
      </c>
      <c r="D108" t="str">
        <f>VLOOKUP(C108,'[1]CLIENTES '!C:D,2,FALSE)</f>
        <v>SABRITAS</v>
      </c>
      <c r="E108" t="s">
        <v>14</v>
      </c>
      <c r="F108" s="4">
        <v>45771</v>
      </c>
      <c r="G108" s="4">
        <v>45771</v>
      </c>
      <c r="H108" s="5">
        <v>1208424</v>
      </c>
      <c r="I108" t="s">
        <v>82</v>
      </c>
      <c r="J108">
        <v>1800014500</v>
      </c>
      <c r="K108" t="s">
        <v>82</v>
      </c>
      <c r="L108" s="5">
        <v>1208424</v>
      </c>
      <c r="M108" t="s">
        <v>37</v>
      </c>
      <c r="N108" t="s">
        <v>21</v>
      </c>
      <c r="O108" s="6">
        <v>19</v>
      </c>
    </row>
    <row r="109" spans="1:15" x14ac:dyDescent="0.3">
      <c r="A109" s="3">
        <v>1800015500</v>
      </c>
      <c r="B109" t="s">
        <v>70</v>
      </c>
      <c r="C109">
        <v>200093</v>
      </c>
      <c r="D109" t="str">
        <f>VLOOKUP(C109,'[1]CLIENTES '!C:D,2,FALSE)</f>
        <v>SABRITAS</v>
      </c>
      <c r="E109" t="s">
        <v>14</v>
      </c>
      <c r="F109" s="4">
        <v>45771</v>
      </c>
      <c r="G109" s="4">
        <v>45771</v>
      </c>
      <c r="H109" s="5">
        <v>1425623</v>
      </c>
      <c r="I109" t="s">
        <v>83</v>
      </c>
      <c r="J109">
        <v>1800015500</v>
      </c>
      <c r="K109" t="s">
        <v>83</v>
      </c>
      <c r="L109" s="5">
        <v>1425623</v>
      </c>
      <c r="M109" t="s">
        <v>39</v>
      </c>
      <c r="N109" t="s">
        <v>21</v>
      </c>
      <c r="O109" s="6">
        <v>19</v>
      </c>
    </row>
    <row r="110" spans="1:15" x14ac:dyDescent="0.3">
      <c r="B110" t="s">
        <v>24</v>
      </c>
      <c r="C110">
        <v>200093</v>
      </c>
      <c r="D110" t="str">
        <f>VLOOKUP(C110,'[1]CLIENTES '!C:D,2,FALSE)</f>
        <v>SABRITAS</v>
      </c>
      <c r="E110" t="s">
        <v>24</v>
      </c>
      <c r="F110" s="4"/>
      <c r="G110" s="4"/>
      <c r="H110" s="5">
        <v>0</v>
      </c>
      <c r="I110" t="s">
        <v>24</v>
      </c>
      <c r="K110" t="s">
        <v>24</v>
      </c>
      <c r="L110" s="5">
        <v>0</v>
      </c>
      <c r="M110" t="s">
        <v>24</v>
      </c>
      <c r="N110" t="s">
        <v>24</v>
      </c>
      <c r="O110" s="6"/>
    </row>
    <row r="111" spans="1:15" x14ac:dyDescent="0.3">
      <c r="A111" s="3">
        <v>1400006000</v>
      </c>
      <c r="B111" t="s">
        <v>70</v>
      </c>
      <c r="C111">
        <v>200841</v>
      </c>
      <c r="D111" t="str">
        <f>VLOOKUP(C111,'[1]CLIENTES '!C:D,2,FALSE)</f>
        <v>COMERCIALIZADORA PEPSICO MEXICO</v>
      </c>
      <c r="E111" t="s">
        <v>14</v>
      </c>
      <c r="F111" s="4">
        <v>45752</v>
      </c>
      <c r="G111" s="4">
        <v>45752</v>
      </c>
      <c r="H111" s="5">
        <v>-663746</v>
      </c>
      <c r="I111" t="s">
        <v>67</v>
      </c>
      <c r="J111">
        <v>1400006000</v>
      </c>
      <c r="K111" t="s">
        <v>67</v>
      </c>
      <c r="L111" s="5">
        <v>-663746</v>
      </c>
      <c r="M111" t="s">
        <v>26</v>
      </c>
      <c r="N111" t="s">
        <v>27</v>
      </c>
      <c r="O111" s="6">
        <v>12</v>
      </c>
    </row>
    <row r="112" spans="1:15" x14ac:dyDescent="0.3">
      <c r="A112" s="3">
        <v>100065500</v>
      </c>
      <c r="B112" t="s">
        <v>70</v>
      </c>
      <c r="C112">
        <v>200841</v>
      </c>
      <c r="D112" t="str">
        <f>VLOOKUP(C112,'[1]CLIENTES '!C:D,2,FALSE)</f>
        <v>COMERCIALIZADORA PEPSICO MEXICO</v>
      </c>
      <c r="E112" t="s">
        <v>14</v>
      </c>
      <c r="F112" s="4">
        <v>45752</v>
      </c>
      <c r="G112" s="4">
        <v>45752</v>
      </c>
      <c r="H112" s="5">
        <v>0</v>
      </c>
      <c r="I112" t="s">
        <v>24</v>
      </c>
      <c r="J112">
        <v>100065500</v>
      </c>
      <c r="K112" t="s">
        <v>24</v>
      </c>
      <c r="L112" s="5">
        <v>0</v>
      </c>
      <c r="M112" t="s">
        <v>24</v>
      </c>
      <c r="N112" t="s">
        <v>31</v>
      </c>
      <c r="O112" s="6">
        <v>0</v>
      </c>
    </row>
    <row r="113" spans="1:15" x14ac:dyDescent="0.3">
      <c r="A113" s="3">
        <v>1800015000</v>
      </c>
      <c r="B113" t="s">
        <v>70</v>
      </c>
      <c r="C113">
        <v>200841</v>
      </c>
      <c r="D113" t="str">
        <f>VLOOKUP(C113,'[1]CLIENTES '!C:D,2,FALSE)</f>
        <v>COMERCIALIZADORA PEPSICO MEXICO</v>
      </c>
      <c r="E113" t="s">
        <v>14</v>
      </c>
      <c r="F113" s="4">
        <v>45771</v>
      </c>
      <c r="G113" s="4">
        <v>45771</v>
      </c>
      <c r="H113" s="5">
        <v>663746</v>
      </c>
      <c r="I113" t="s">
        <v>84</v>
      </c>
      <c r="J113">
        <v>1800015000</v>
      </c>
      <c r="K113" t="s">
        <v>84</v>
      </c>
      <c r="L113" s="5">
        <v>663746</v>
      </c>
      <c r="M113" t="s">
        <v>42</v>
      </c>
      <c r="N113" t="s">
        <v>21</v>
      </c>
      <c r="O113" s="6">
        <v>19</v>
      </c>
    </row>
    <row r="114" spans="1:15" x14ac:dyDescent="0.3">
      <c r="B114" t="s">
        <v>24</v>
      </c>
      <c r="C114">
        <v>200841</v>
      </c>
      <c r="D114" t="str">
        <f>VLOOKUP(C114,'[1]CLIENTES '!C:D,2,FALSE)</f>
        <v>COMERCIALIZADORA PEPSICO MEXICO</v>
      </c>
      <c r="E114" t="s">
        <v>24</v>
      </c>
      <c r="F114" s="4"/>
      <c r="G114" s="4"/>
      <c r="H114" s="5">
        <v>0</v>
      </c>
      <c r="I114" t="s">
        <v>24</v>
      </c>
      <c r="K114" t="s">
        <v>24</v>
      </c>
      <c r="L114" s="5">
        <v>0</v>
      </c>
      <c r="M114" t="s">
        <v>24</v>
      </c>
      <c r="N114" t="s">
        <v>24</v>
      </c>
      <c r="O114" s="6"/>
    </row>
    <row r="115" spans="1:15" x14ac:dyDescent="0.3">
      <c r="A115" s="3">
        <v>1400008500</v>
      </c>
      <c r="B115" t="s">
        <v>70</v>
      </c>
      <c r="C115">
        <v>201271</v>
      </c>
      <c r="D115" t="str">
        <f>VLOOKUP(C115,'[1]CLIENTES '!C:D,2,FALSE)</f>
        <v>PEPSICO STRAUSS FRESH DIPS &amp;</v>
      </c>
      <c r="E115" t="s">
        <v>14</v>
      </c>
      <c r="F115" s="4">
        <v>45776</v>
      </c>
      <c r="G115" s="4">
        <v>45776</v>
      </c>
      <c r="H115" s="5">
        <v>-645794.04</v>
      </c>
      <c r="I115" t="s">
        <v>68</v>
      </c>
      <c r="J115">
        <v>1400008500</v>
      </c>
      <c r="K115" t="s">
        <v>68</v>
      </c>
      <c r="L115" s="5">
        <v>-645794.04</v>
      </c>
      <c r="M115" t="s">
        <v>26</v>
      </c>
      <c r="N115" t="s">
        <v>27</v>
      </c>
      <c r="O115" s="6">
        <v>0</v>
      </c>
    </row>
    <row r="116" spans="1:15" x14ac:dyDescent="0.3">
      <c r="A116" s="3">
        <v>100019501</v>
      </c>
      <c r="B116" t="s">
        <v>70</v>
      </c>
      <c r="C116">
        <v>201271</v>
      </c>
      <c r="D116" t="str">
        <f>VLOOKUP(C116,'[1]CLIENTES '!C:D,2,FALSE)</f>
        <v>PEPSICO STRAUSS FRESH DIPS &amp;</v>
      </c>
      <c r="E116" t="s">
        <v>14</v>
      </c>
      <c r="F116" s="4">
        <v>45776</v>
      </c>
      <c r="G116" s="4">
        <v>45776</v>
      </c>
      <c r="H116" s="5">
        <v>0</v>
      </c>
      <c r="I116" t="s">
        <v>24</v>
      </c>
      <c r="J116">
        <v>100019501</v>
      </c>
      <c r="K116" t="s">
        <v>24</v>
      </c>
      <c r="L116" s="5">
        <v>0</v>
      </c>
      <c r="M116" t="s">
        <v>24</v>
      </c>
      <c r="N116" t="s">
        <v>31</v>
      </c>
      <c r="O116" s="6">
        <v>0</v>
      </c>
    </row>
    <row r="117" spans="1:15" x14ac:dyDescent="0.3">
      <c r="A117" s="3">
        <v>1800016000</v>
      </c>
      <c r="B117" t="s">
        <v>70</v>
      </c>
      <c r="C117">
        <v>201271</v>
      </c>
      <c r="D117" t="str">
        <f>VLOOKUP(C117,'[1]CLIENTES '!C:D,2,FALSE)</f>
        <v>PEPSICO STRAUSS FRESH DIPS &amp;</v>
      </c>
      <c r="E117" t="s">
        <v>14</v>
      </c>
      <c r="F117" s="4">
        <v>45771</v>
      </c>
      <c r="G117" s="4">
        <v>45771</v>
      </c>
      <c r="H117" s="5">
        <v>215265</v>
      </c>
      <c r="I117" t="s">
        <v>85</v>
      </c>
      <c r="J117">
        <v>1800016000</v>
      </c>
      <c r="K117" t="s">
        <v>85</v>
      </c>
      <c r="L117" s="5">
        <v>215265</v>
      </c>
      <c r="M117" t="s">
        <v>69</v>
      </c>
      <c r="N117" t="s">
        <v>21</v>
      </c>
      <c r="O117" s="6">
        <v>130</v>
      </c>
    </row>
    <row r="118" spans="1:15" x14ac:dyDescent="0.3">
      <c r="B118" t="s">
        <v>24</v>
      </c>
      <c r="C118">
        <v>201271</v>
      </c>
      <c r="D118" t="str">
        <f>VLOOKUP(C118,'[1]CLIENTES '!C:D,2,FALSE)</f>
        <v>PEPSICO STRAUSS FRESH DIPS &amp;</v>
      </c>
      <c r="E118" t="s">
        <v>24</v>
      </c>
      <c r="F118" s="4"/>
      <c r="G118" s="4"/>
      <c r="H118" s="5">
        <v>-430529.04</v>
      </c>
      <c r="I118" t="s">
        <v>24</v>
      </c>
      <c r="K118" t="s">
        <v>24</v>
      </c>
      <c r="L118" s="5">
        <v>-430529.04</v>
      </c>
      <c r="M118" t="s">
        <v>24</v>
      </c>
      <c r="N118" t="s">
        <v>24</v>
      </c>
      <c r="O118" s="6"/>
    </row>
    <row r="119" spans="1:15" x14ac:dyDescent="0.3">
      <c r="A119" s="3">
        <v>5200000000</v>
      </c>
      <c r="B119" t="s">
        <v>86</v>
      </c>
      <c r="C119">
        <v>200077</v>
      </c>
      <c r="D119" t="str">
        <f>VLOOKUP(C119,'[1]CLIENTES '!C:D,2,FALSE)</f>
        <v>CORPORATIVO INTERNACIONAL MEXICANO</v>
      </c>
      <c r="E119" t="s">
        <v>14</v>
      </c>
      <c r="F119" s="4">
        <v>45808</v>
      </c>
      <c r="G119" s="4">
        <v>45808</v>
      </c>
      <c r="H119" s="5">
        <v>-91237.24</v>
      </c>
      <c r="I119" t="s">
        <v>87</v>
      </c>
      <c r="J119">
        <v>5200000000</v>
      </c>
      <c r="K119" t="s">
        <v>87</v>
      </c>
      <c r="L119" s="5">
        <v>-91237.24</v>
      </c>
      <c r="M119" t="s">
        <v>88</v>
      </c>
      <c r="N119" t="s">
        <v>89</v>
      </c>
      <c r="O119" s="6">
        <v>0</v>
      </c>
    </row>
    <row r="120" spans="1:15" x14ac:dyDescent="0.3">
      <c r="A120" s="3">
        <v>3000000000</v>
      </c>
      <c r="B120" t="s">
        <v>86</v>
      </c>
      <c r="C120">
        <v>200077</v>
      </c>
      <c r="D120" t="str">
        <f>VLOOKUP(C120,'[1]CLIENTES '!C:D,2,FALSE)</f>
        <v>CORPORATIVO INTERNACIONAL MEXICANO</v>
      </c>
      <c r="E120" t="s">
        <v>14</v>
      </c>
      <c r="F120" s="4">
        <v>45808</v>
      </c>
      <c r="G120" s="4">
        <v>45808</v>
      </c>
      <c r="H120" s="5">
        <v>91237.24</v>
      </c>
      <c r="I120" t="s">
        <v>87</v>
      </c>
      <c r="J120">
        <v>3000000000</v>
      </c>
      <c r="K120" t="s">
        <v>87</v>
      </c>
      <c r="L120" s="5">
        <v>91237.24</v>
      </c>
      <c r="M120" t="s">
        <v>88</v>
      </c>
      <c r="N120" t="s">
        <v>90</v>
      </c>
      <c r="O120" s="6">
        <v>0</v>
      </c>
    </row>
    <row r="121" spans="1:15" x14ac:dyDescent="0.3">
      <c r="A121" s="3">
        <v>1600011000</v>
      </c>
      <c r="B121" t="s">
        <v>86</v>
      </c>
      <c r="C121">
        <v>200077</v>
      </c>
      <c r="D121" t="str">
        <f>VLOOKUP(C121,'[1]CLIENTES '!C:D,2,FALSE)</f>
        <v>CORPORATIVO INTERNACIONAL MEXICANO</v>
      </c>
      <c r="E121" t="s">
        <v>14</v>
      </c>
      <c r="F121" s="4">
        <v>45808</v>
      </c>
      <c r="G121" s="4">
        <v>45808</v>
      </c>
      <c r="H121" s="5">
        <v>-1752298.79</v>
      </c>
      <c r="I121" t="s">
        <v>24</v>
      </c>
      <c r="J121">
        <v>1600011000</v>
      </c>
      <c r="K121" t="s">
        <v>24</v>
      </c>
      <c r="L121" s="5">
        <v>-1752298.79</v>
      </c>
      <c r="M121" t="s">
        <v>91</v>
      </c>
      <c r="N121" t="s">
        <v>17</v>
      </c>
      <c r="O121" s="6">
        <v>194</v>
      </c>
    </row>
    <row r="122" spans="1:15" x14ac:dyDescent="0.3">
      <c r="A122" s="3">
        <v>1800020500</v>
      </c>
      <c r="B122" t="s">
        <v>86</v>
      </c>
      <c r="C122">
        <v>200077</v>
      </c>
      <c r="D122" t="str">
        <f>VLOOKUP(C122,'[1]CLIENTES '!C:D,2,FALSE)</f>
        <v>CORPORATIVO INTERNACIONAL MEXICANO</v>
      </c>
      <c r="E122" t="s">
        <v>14</v>
      </c>
      <c r="F122" s="4">
        <v>45808</v>
      </c>
      <c r="G122" s="4">
        <v>45808</v>
      </c>
      <c r="H122" s="5">
        <v>2823619.68</v>
      </c>
      <c r="I122" t="s">
        <v>92</v>
      </c>
      <c r="J122">
        <v>1800020500</v>
      </c>
      <c r="K122" t="s">
        <v>92</v>
      </c>
      <c r="L122" s="5">
        <v>2823619.68</v>
      </c>
      <c r="M122" t="s">
        <v>93</v>
      </c>
      <c r="N122" t="s">
        <v>21</v>
      </c>
      <c r="O122" s="6">
        <v>194</v>
      </c>
    </row>
    <row r="123" spans="1:15" x14ac:dyDescent="0.3">
      <c r="A123" s="3">
        <v>1800021000</v>
      </c>
      <c r="B123" t="s">
        <v>86</v>
      </c>
      <c r="C123">
        <v>200077</v>
      </c>
      <c r="D123" t="str">
        <f>VLOOKUP(C123,'[1]CLIENTES '!C:D,2,FALSE)</f>
        <v>CORPORATIVO INTERNACIONAL MEXICANO</v>
      </c>
      <c r="E123" t="s">
        <v>14</v>
      </c>
      <c r="F123" s="4">
        <v>45808</v>
      </c>
      <c r="G123" s="4">
        <v>45808</v>
      </c>
      <c r="H123" s="5">
        <v>5096287.12</v>
      </c>
      <c r="I123" t="s">
        <v>94</v>
      </c>
      <c r="J123">
        <v>1800021000</v>
      </c>
      <c r="K123" t="s">
        <v>94</v>
      </c>
      <c r="L123" s="5">
        <v>5096287.12</v>
      </c>
      <c r="M123" t="s">
        <v>95</v>
      </c>
      <c r="N123" t="s">
        <v>21</v>
      </c>
      <c r="O123" s="6">
        <v>194</v>
      </c>
    </row>
    <row r="124" spans="1:15" x14ac:dyDescent="0.3">
      <c r="B124" t="s">
        <v>24</v>
      </c>
      <c r="C124">
        <v>200077</v>
      </c>
      <c r="D124" t="str">
        <f>VLOOKUP(C124,'[1]CLIENTES '!C:D,2,FALSE)</f>
        <v>CORPORATIVO INTERNACIONAL MEXICANO</v>
      </c>
      <c r="E124" t="s">
        <v>24</v>
      </c>
      <c r="F124" s="4"/>
      <c r="G124" s="4"/>
      <c r="H124" s="5">
        <v>6167608.0099999998</v>
      </c>
      <c r="I124" t="s">
        <v>24</v>
      </c>
      <c r="K124" t="s">
        <v>24</v>
      </c>
      <c r="L124" s="5">
        <v>6167608.0099999998</v>
      </c>
      <c r="M124" t="s">
        <v>24</v>
      </c>
      <c r="N124" t="s">
        <v>24</v>
      </c>
      <c r="O124" s="6"/>
    </row>
    <row r="125" spans="1:15" x14ac:dyDescent="0.3">
      <c r="A125" s="3">
        <v>1400011500</v>
      </c>
      <c r="B125" t="s">
        <v>86</v>
      </c>
      <c r="C125">
        <v>200093</v>
      </c>
      <c r="D125" t="str">
        <f>VLOOKUP(C125,'[1]CLIENTES '!C:D,2,FALSE)</f>
        <v>SABRITAS</v>
      </c>
      <c r="E125" t="s">
        <v>14</v>
      </c>
      <c r="F125" s="4">
        <v>45790</v>
      </c>
      <c r="G125" s="4">
        <v>45790</v>
      </c>
      <c r="H125" s="5">
        <v>-1425623</v>
      </c>
      <c r="I125" t="s">
        <v>83</v>
      </c>
      <c r="J125">
        <v>1400011500</v>
      </c>
      <c r="K125" t="s">
        <v>83</v>
      </c>
      <c r="L125" s="5">
        <v>-1425623</v>
      </c>
      <c r="M125" t="s">
        <v>26</v>
      </c>
      <c r="N125" t="s">
        <v>27</v>
      </c>
      <c r="O125" s="6">
        <v>19</v>
      </c>
    </row>
    <row r="126" spans="1:15" x14ac:dyDescent="0.3">
      <c r="A126" s="3">
        <v>1400011000</v>
      </c>
      <c r="B126" t="s">
        <v>86</v>
      </c>
      <c r="C126">
        <v>200093</v>
      </c>
      <c r="D126" t="str">
        <f>VLOOKUP(C126,'[1]CLIENTES '!C:D,2,FALSE)</f>
        <v>SABRITAS</v>
      </c>
      <c r="E126" t="s">
        <v>14</v>
      </c>
      <c r="F126" s="4">
        <v>45790</v>
      </c>
      <c r="G126" s="4">
        <v>45790</v>
      </c>
      <c r="H126" s="5">
        <v>-1208424</v>
      </c>
      <c r="I126" t="s">
        <v>82</v>
      </c>
      <c r="J126">
        <v>1400011000</v>
      </c>
      <c r="K126" t="s">
        <v>82</v>
      </c>
      <c r="L126" s="5">
        <v>-1208424</v>
      </c>
      <c r="M126" t="s">
        <v>26</v>
      </c>
      <c r="N126" t="s">
        <v>27</v>
      </c>
      <c r="O126" s="6">
        <v>19</v>
      </c>
    </row>
    <row r="127" spans="1:15" x14ac:dyDescent="0.3">
      <c r="A127" s="3">
        <v>1400010500</v>
      </c>
      <c r="B127" t="s">
        <v>86</v>
      </c>
      <c r="C127">
        <v>200093</v>
      </c>
      <c r="D127" t="str">
        <f>VLOOKUP(C127,'[1]CLIENTES '!C:D,2,FALSE)</f>
        <v>SABRITAS</v>
      </c>
      <c r="E127" t="s">
        <v>14</v>
      </c>
      <c r="F127" s="4">
        <v>45790</v>
      </c>
      <c r="G127" s="4">
        <v>45790</v>
      </c>
      <c r="H127" s="5">
        <v>-575445</v>
      </c>
      <c r="I127" t="s">
        <v>81</v>
      </c>
      <c r="J127">
        <v>1400010500</v>
      </c>
      <c r="K127" t="s">
        <v>81</v>
      </c>
      <c r="L127" s="5">
        <v>-575445</v>
      </c>
      <c r="M127" t="s">
        <v>26</v>
      </c>
      <c r="N127" t="s">
        <v>27</v>
      </c>
      <c r="O127" s="6">
        <v>19</v>
      </c>
    </row>
    <row r="128" spans="1:15" x14ac:dyDescent="0.3">
      <c r="A128" s="3">
        <v>1400010501</v>
      </c>
      <c r="B128" t="s">
        <v>86</v>
      </c>
      <c r="C128">
        <v>200093</v>
      </c>
      <c r="D128" t="str">
        <f>VLOOKUP(C128,'[1]CLIENTES '!C:D,2,FALSE)</f>
        <v>SABRITAS</v>
      </c>
      <c r="E128" t="s">
        <v>14</v>
      </c>
      <c r="F128" s="4">
        <v>45790</v>
      </c>
      <c r="G128" s="4">
        <v>45790</v>
      </c>
      <c r="H128" s="5">
        <v>-427547</v>
      </c>
      <c r="I128" t="s">
        <v>80</v>
      </c>
      <c r="J128">
        <v>1400010501</v>
      </c>
      <c r="K128" t="s">
        <v>80</v>
      </c>
      <c r="L128" s="5">
        <v>-427547</v>
      </c>
      <c r="M128" t="s">
        <v>26</v>
      </c>
      <c r="N128" t="s">
        <v>27</v>
      </c>
      <c r="O128" s="6">
        <v>19</v>
      </c>
    </row>
    <row r="129" spans="1:15" x14ac:dyDescent="0.3">
      <c r="A129" s="3">
        <v>100086500</v>
      </c>
      <c r="B129" t="s">
        <v>86</v>
      </c>
      <c r="C129">
        <v>200093</v>
      </c>
      <c r="D129" t="str">
        <f>VLOOKUP(C129,'[1]CLIENTES '!C:D,2,FALSE)</f>
        <v>SABRITAS</v>
      </c>
      <c r="E129" t="s">
        <v>14</v>
      </c>
      <c r="F129" s="4">
        <v>45790</v>
      </c>
      <c r="G129" s="4">
        <v>45790</v>
      </c>
      <c r="H129" s="5">
        <v>0</v>
      </c>
      <c r="I129" t="s">
        <v>24</v>
      </c>
      <c r="J129">
        <v>100086500</v>
      </c>
      <c r="K129" t="s">
        <v>24</v>
      </c>
      <c r="L129" s="5">
        <v>0</v>
      </c>
      <c r="M129" t="s">
        <v>24</v>
      </c>
      <c r="N129" t="s">
        <v>31</v>
      </c>
      <c r="O129" s="6">
        <v>0</v>
      </c>
    </row>
    <row r="130" spans="1:15" x14ac:dyDescent="0.3">
      <c r="A130" s="3">
        <v>100086001</v>
      </c>
      <c r="B130" t="s">
        <v>86</v>
      </c>
      <c r="C130">
        <v>200093</v>
      </c>
      <c r="D130" t="str">
        <f>VLOOKUP(C130,'[1]CLIENTES '!C:D,2,FALSE)</f>
        <v>SABRITAS</v>
      </c>
      <c r="E130" t="s">
        <v>14</v>
      </c>
      <c r="F130" s="4">
        <v>45790</v>
      </c>
      <c r="G130" s="4">
        <v>45790</v>
      </c>
      <c r="H130" s="5">
        <v>0</v>
      </c>
      <c r="I130" t="s">
        <v>24</v>
      </c>
      <c r="J130">
        <v>100086001</v>
      </c>
      <c r="K130" t="s">
        <v>24</v>
      </c>
      <c r="L130" s="5">
        <v>0</v>
      </c>
      <c r="M130" t="s">
        <v>24</v>
      </c>
      <c r="N130" t="s">
        <v>31</v>
      </c>
      <c r="O130" s="6">
        <v>0</v>
      </c>
    </row>
    <row r="131" spans="1:15" x14ac:dyDescent="0.3">
      <c r="A131" s="3">
        <v>100086501</v>
      </c>
      <c r="B131" t="s">
        <v>86</v>
      </c>
      <c r="C131">
        <v>200093</v>
      </c>
      <c r="D131" t="str">
        <f>VLOOKUP(C131,'[1]CLIENTES '!C:D,2,FALSE)</f>
        <v>SABRITAS</v>
      </c>
      <c r="E131" t="s">
        <v>14</v>
      </c>
      <c r="F131" s="4">
        <v>45790</v>
      </c>
      <c r="G131" s="4">
        <v>45790</v>
      </c>
      <c r="H131" s="5">
        <v>0</v>
      </c>
      <c r="I131" t="s">
        <v>24</v>
      </c>
      <c r="J131">
        <v>100086501</v>
      </c>
      <c r="K131" t="s">
        <v>24</v>
      </c>
      <c r="L131" s="5">
        <v>0</v>
      </c>
      <c r="M131" t="s">
        <v>24</v>
      </c>
      <c r="N131" t="s">
        <v>31</v>
      </c>
      <c r="O131" s="6">
        <v>0</v>
      </c>
    </row>
    <row r="132" spans="1:15" x14ac:dyDescent="0.3">
      <c r="A132" s="3">
        <v>100086000</v>
      </c>
      <c r="B132" t="s">
        <v>86</v>
      </c>
      <c r="C132">
        <v>200093</v>
      </c>
      <c r="D132" t="str">
        <f>VLOOKUP(C132,'[1]CLIENTES '!C:D,2,FALSE)</f>
        <v>SABRITAS</v>
      </c>
      <c r="E132" t="s">
        <v>14</v>
      </c>
      <c r="F132" s="4">
        <v>45790</v>
      </c>
      <c r="G132" s="4">
        <v>45790</v>
      </c>
      <c r="H132" s="5">
        <v>0</v>
      </c>
      <c r="I132" t="s">
        <v>24</v>
      </c>
      <c r="J132">
        <v>100086000</v>
      </c>
      <c r="K132" t="s">
        <v>24</v>
      </c>
      <c r="L132" s="5">
        <v>0</v>
      </c>
      <c r="M132" t="s">
        <v>24</v>
      </c>
      <c r="N132" t="s">
        <v>31</v>
      </c>
      <c r="O132" s="6">
        <v>0</v>
      </c>
    </row>
    <row r="133" spans="1:15" x14ac:dyDescent="0.3">
      <c r="A133" s="3">
        <v>1800017500</v>
      </c>
      <c r="B133" t="s">
        <v>86</v>
      </c>
      <c r="C133">
        <v>200093</v>
      </c>
      <c r="D133" t="str">
        <f>VLOOKUP(C133,'[1]CLIENTES '!C:D,2,FALSE)</f>
        <v>SABRITAS</v>
      </c>
      <c r="E133" t="s">
        <v>14</v>
      </c>
      <c r="F133" s="4">
        <v>45804</v>
      </c>
      <c r="G133" s="4">
        <v>45804</v>
      </c>
      <c r="H133" s="5">
        <v>427547</v>
      </c>
      <c r="I133" t="s">
        <v>96</v>
      </c>
      <c r="J133">
        <v>1800017500</v>
      </c>
      <c r="K133" t="s">
        <v>96</v>
      </c>
      <c r="L133" s="5">
        <v>427547</v>
      </c>
      <c r="M133" t="s">
        <v>33</v>
      </c>
      <c r="N133" t="s">
        <v>21</v>
      </c>
      <c r="O133" s="6">
        <v>21</v>
      </c>
    </row>
    <row r="134" spans="1:15" x14ac:dyDescent="0.3">
      <c r="A134" s="3">
        <v>1800007001</v>
      </c>
      <c r="B134" t="s">
        <v>86</v>
      </c>
      <c r="C134">
        <v>200093</v>
      </c>
      <c r="D134" t="str">
        <f>VLOOKUP(C134,'[1]CLIENTES '!C:D,2,FALSE)</f>
        <v>SABRITAS</v>
      </c>
      <c r="E134" t="s">
        <v>14</v>
      </c>
      <c r="F134" s="4">
        <v>45804</v>
      </c>
      <c r="G134" s="4">
        <v>45804</v>
      </c>
      <c r="H134" s="5">
        <v>575445</v>
      </c>
      <c r="I134" t="s">
        <v>97</v>
      </c>
      <c r="J134">
        <v>1800007001</v>
      </c>
      <c r="K134" t="s">
        <v>97</v>
      </c>
      <c r="L134" s="5">
        <v>575445</v>
      </c>
      <c r="M134" t="s">
        <v>35</v>
      </c>
      <c r="N134" t="s">
        <v>21</v>
      </c>
      <c r="O134" s="6">
        <v>21</v>
      </c>
    </row>
    <row r="135" spans="1:15" x14ac:dyDescent="0.3">
      <c r="A135" s="3">
        <v>1800018000</v>
      </c>
      <c r="B135" t="s">
        <v>86</v>
      </c>
      <c r="C135">
        <v>200093</v>
      </c>
      <c r="D135" t="str">
        <f>VLOOKUP(C135,'[1]CLIENTES '!C:D,2,FALSE)</f>
        <v>SABRITAS</v>
      </c>
      <c r="E135" t="s">
        <v>14</v>
      </c>
      <c r="F135" s="4">
        <v>45804</v>
      </c>
      <c r="G135" s="4">
        <v>45804</v>
      </c>
      <c r="H135" s="5">
        <v>1208424</v>
      </c>
      <c r="I135" t="s">
        <v>98</v>
      </c>
      <c r="J135">
        <v>1800018000</v>
      </c>
      <c r="K135" t="s">
        <v>98</v>
      </c>
      <c r="L135" s="5">
        <v>1208424</v>
      </c>
      <c r="M135" t="s">
        <v>37</v>
      </c>
      <c r="N135" t="s">
        <v>21</v>
      </c>
      <c r="O135" s="6">
        <v>21</v>
      </c>
    </row>
    <row r="136" spans="1:15" x14ac:dyDescent="0.3">
      <c r="A136" s="3">
        <v>1800019000</v>
      </c>
      <c r="B136" t="s">
        <v>86</v>
      </c>
      <c r="C136">
        <v>200093</v>
      </c>
      <c r="D136" t="str">
        <f>VLOOKUP(C136,'[1]CLIENTES '!C:D,2,FALSE)</f>
        <v>SABRITAS</v>
      </c>
      <c r="E136" t="s">
        <v>14</v>
      </c>
      <c r="F136" s="4">
        <v>45804</v>
      </c>
      <c r="G136" s="4">
        <v>45804</v>
      </c>
      <c r="H136" s="5">
        <v>1425623</v>
      </c>
      <c r="I136" t="s">
        <v>99</v>
      </c>
      <c r="J136">
        <v>1800019000</v>
      </c>
      <c r="K136" t="s">
        <v>99</v>
      </c>
      <c r="L136" s="5">
        <v>1425623</v>
      </c>
      <c r="M136" t="s">
        <v>39</v>
      </c>
      <c r="N136" t="s">
        <v>21</v>
      </c>
      <c r="O136" s="6">
        <v>21</v>
      </c>
    </row>
    <row r="137" spans="1:15" x14ac:dyDescent="0.3">
      <c r="B137" t="s">
        <v>24</v>
      </c>
      <c r="C137">
        <v>200093</v>
      </c>
      <c r="D137" t="str">
        <f>VLOOKUP(C137,'[1]CLIENTES '!C:D,2,FALSE)</f>
        <v>SABRITAS</v>
      </c>
      <c r="E137" t="s">
        <v>24</v>
      </c>
      <c r="F137" s="4"/>
      <c r="G137" s="4"/>
      <c r="H137" s="5">
        <v>0</v>
      </c>
      <c r="I137" t="s">
        <v>24</v>
      </c>
      <c r="K137" t="s">
        <v>24</v>
      </c>
      <c r="L137" s="5">
        <v>0</v>
      </c>
      <c r="M137" t="s">
        <v>24</v>
      </c>
      <c r="N137" t="s">
        <v>24</v>
      </c>
      <c r="O137" s="6"/>
    </row>
    <row r="138" spans="1:15" x14ac:dyDescent="0.3">
      <c r="A138" s="3">
        <v>1400010000</v>
      </c>
      <c r="B138" t="s">
        <v>86</v>
      </c>
      <c r="C138">
        <v>200841</v>
      </c>
      <c r="D138" t="str">
        <f>VLOOKUP(C138,'[1]CLIENTES '!C:D,2,FALSE)</f>
        <v>COMERCIALIZADORA PEPSICO MEXICO</v>
      </c>
      <c r="E138" t="s">
        <v>14</v>
      </c>
      <c r="F138" s="4">
        <v>45790</v>
      </c>
      <c r="G138" s="4">
        <v>45790</v>
      </c>
      <c r="H138" s="5">
        <v>-663746</v>
      </c>
      <c r="I138" t="s">
        <v>84</v>
      </c>
      <c r="J138">
        <v>1400010000</v>
      </c>
      <c r="K138" t="s">
        <v>84</v>
      </c>
      <c r="L138" s="5">
        <v>-663746</v>
      </c>
      <c r="M138" t="s">
        <v>26</v>
      </c>
      <c r="N138" t="s">
        <v>27</v>
      </c>
      <c r="O138" s="6">
        <v>19</v>
      </c>
    </row>
    <row r="139" spans="1:15" x14ac:dyDescent="0.3">
      <c r="A139" s="3">
        <v>1800019500</v>
      </c>
      <c r="B139" t="s">
        <v>86</v>
      </c>
      <c r="C139">
        <v>200841</v>
      </c>
      <c r="D139" t="str">
        <f>VLOOKUP(C139,'[1]CLIENTES '!C:D,2,FALSE)</f>
        <v>COMERCIALIZADORA PEPSICO MEXICO</v>
      </c>
      <c r="E139" t="s">
        <v>14</v>
      </c>
      <c r="F139" s="4">
        <v>45804</v>
      </c>
      <c r="G139" s="4">
        <v>45804</v>
      </c>
      <c r="H139" s="5">
        <v>-663746</v>
      </c>
      <c r="I139" t="s">
        <v>100</v>
      </c>
      <c r="J139">
        <v>1800019500</v>
      </c>
      <c r="K139" t="s">
        <v>100</v>
      </c>
      <c r="L139" s="5">
        <v>-663746</v>
      </c>
      <c r="M139" t="s">
        <v>42</v>
      </c>
      <c r="N139" t="s">
        <v>21</v>
      </c>
      <c r="O139" s="6">
        <v>0</v>
      </c>
    </row>
    <row r="140" spans="1:15" x14ac:dyDescent="0.3">
      <c r="A140" s="3">
        <v>100085500</v>
      </c>
      <c r="B140" t="s">
        <v>86</v>
      </c>
      <c r="C140">
        <v>200841</v>
      </c>
      <c r="D140" t="str">
        <f>VLOOKUP(C140,'[1]CLIENTES '!C:D,2,FALSE)</f>
        <v>COMERCIALIZADORA PEPSICO MEXICO</v>
      </c>
      <c r="E140" t="s">
        <v>14</v>
      </c>
      <c r="F140" s="4">
        <v>45790</v>
      </c>
      <c r="G140" s="4">
        <v>45790</v>
      </c>
      <c r="H140" s="5">
        <v>0</v>
      </c>
      <c r="I140" t="s">
        <v>24</v>
      </c>
      <c r="J140">
        <v>100085500</v>
      </c>
      <c r="K140" t="s">
        <v>24</v>
      </c>
      <c r="L140" s="5">
        <v>0</v>
      </c>
      <c r="M140" t="s">
        <v>24</v>
      </c>
      <c r="N140" t="s">
        <v>31</v>
      </c>
      <c r="O140" s="6">
        <v>0</v>
      </c>
    </row>
    <row r="141" spans="1:15" x14ac:dyDescent="0.3">
      <c r="A141" s="3">
        <v>1800018500</v>
      </c>
      <c r="B141" t="s">
        <v>86</v>
      </c>
      <c r="C141">
        <v>200841</v>
      </c>
      <c r="D141" t="str">
        <f>VLOOKUP(C141,'[1]CLIENTES '!C:D,2,FALSE)</f>
        <v>COMERCIALIZADORA PEPSICO MEXICO</v>
      </c>
      <c r="E141" t="s">
        <v>14</v>
      </c>
      <c r="F141" s="4">
        <v>45804</v>
      </c>
      <c r="G141" s="4">
        <v>45804</v>
      </c>
      <c r="H141" s="5">
        <v>663746</v>
      </c>
      <c r="I141" t="s">
        <v>100</v>
      </c>
      <c r="J141">
        <v>1800018500</v>
      </c>
      <c r="K141" t="s">
        <v>100</v>
      </c>
      <c r="L141" s="5">
        <v>663746</v>
      </c>
      <c r="M141" t="s">
        <v>42</v>
      </c>
      <c r="N141" t="s">
        <v>21</v>
      </c>
      <c r="O141" s="6">
        <v>0</v>
      </c>
    </row>
    <row r="142" spans="1:15" x14ac:dyDescent="0.3">
      <c r="A142" s="3">
        <v>1800020000</v>
      </c>
      <c r="B142" t="s">
        <v>86</v>
      </c>
      <c r="C142">
        <v>200841</v>
      </c>
      <c r="D142" t="str">
        <f>VLOOKUP(C142,'[1]CLIENTES '!C:D,2,FALSE)</f>
        <v>COMERCIALIZADORA PEPSICO MEXICO</v>
      </c>
      <c r="E142" t="s">
        <v>14</v>
      </c>
      <c r="F142" s="4">
        <v>45804</v>
      </c>
      <c r="G142" s="4">
        <v>45804</v>
      </c>
      <c r="H142" s="5">
        <v>663746</v>
      </c>
      <c r="I142" t="s">
        <v>100</v>
      </c>
      <c r="J142">
        <v>1800020000</v>
      </c>
      <c r="K142" t="s">
        <v>100</v>
      </c>
      <c r="L142" s="5">
        <v>663746</v>
      </c>
      <c r="M142" t="s">
        <v>42</v>
      </c>
      <c r="N142" t="s">
        <v>21</v>
      </c>
      <c r="O142" s="6">
        <v>21</v>
      </c>
    </row>
    <row r="143" spans="1:15" x14ac:dyDescent="0.3">
      <c r="B143" t="s">
        <v>24</v>
      </c>
      <c r="C143">
        <v>200841</v>
      </c>
      <c r="D143" t="str">
        <f>VLOOKUP(C143,'[1]CLIENTES '!C:D,2,FALSE)</f>
        <v>COMERCIALIZADORA PEPSICO MEXICO</v>
      </c>
      <c r="E143" t="s">
        <v>24</v>
      </c>
      <c r="F143" s="4"/>
      <c r="G143" s="4"/>
      <c r="H143" s="5">
        <v>0</v>
      </c>
      <c r="I143" t="s">
        <v>24</v>
      </c>
      <c r="K143" t="s">
        <v>24</v>
      </c>
      <c r="L143" s="5">
        <v>0</v>
      </c>
      <c r="M143" t="s">
        <v>24</v>
      </c>
      <c r="N143" t="s">
        <v>24</v>
      </c>
      <c r="O143" s="6"/>
    </row>
    <row r="144" spans="1:15" x14ac:dyDescent="0.3">
      <c r="A144" s="3">
        <v>1800008501</v>
      </c>
      <c r="B144" t="s">
        <v>86</v>
      </c>
      <c r="C144">
        <v>201271</v>
      </c>
      <c r="D144" t="str">
        <f>VLOOKUP(C144,'[1]CLIENTES '!C:D,2,FALSE)</f>
        <v>PEPSICO STRAUSS FRESH DIPS &amp;</v>
      </c>
      <c r="E144" t="s">
        <v>14</v>
      </c>
      <c r="F144" s="4">
        <v>45804</v>
      </c>
      <c r="G144" s="4">
        <v>45804</v>
      </c>
      <c r="H144" s="5">
        <v>224328</v>
      </c>
      <c r="I144" t="s">
        <v>101</v>
      </c>
      <c r="J144">
        <v>1800008501</v>
      </c>
      <c r="K144" t="s">
        <v>101</v>
      </c>
      <c r="L144" s="5">
        <v>224328</v>
      </c>
      <c r="M144" t="s">
        <v>69</v>
      </c>
      <c r="N144" t="s">
        <v>21</v>
      </c>
      <c r="O144" s="6">
        <v>97</v>
      </c>
    </row>
    <row r="145" spans="1:15" x14ac:dyDescent="0.3">
      <c r="B145" t="s">
        <v>24</v>
      </c>
      <c r="C145">
        <v>201271</v>
      </c>
      <c r="D145" t="str">
        <f>VLOOKUP(C145,'[1]CLIENTES '!C:D,2,FALSE)</f>
        <v>PEPSICO STRAUSS FRESH DIPS &amp;</v>
      </c>
      <c r="E145" t="s">
        <v>24</v>
      </c>
      <c r="F145" s="4"/>
      <c r="G145" s="4"/>
      <c r="H145" s="5">
        <v>224328</v>
      </c>
      <c r="I145" t="s">
        <v>24</v>
      </c>
      <c r="K145" t="s">
        <v>24</v>
      </c>
      <c r="L145" s="5">
        <v>224328</v>
      </c>
      <c r="M145" t="s">
        <v>24</v>
      </c>
      <c r="N145" t="s">
        <v>24</v>
      </c>
      <c r="O145" s="6"/>
    </row>
    <row r="146" spans="1:15" x14ac:dyDescent="0.3">
      <c r="A146" s="3">
        <v>1600011500</v>
      </c>
      <c r="B146" t="s">
        <v>102</v>
      </c>
      <c r="C146">
        <v>200077</v>
      </c>
      <c r="D146" t="str">
        <f>VLOOKUP(C146,'[1]CLIENTES '!C:D,2,FALSE)</f>
        <v>CORPORATIVO INTERNACIONAL MEXICANO</v>
      </c>
      <c r="E146" t="s">
        <v>14</v>
      </c>
      <c r="F146" s="4">
        <v>45838</v>
      </c>
      <c r="G146" s="4">
        <v>45838</v>
      </c>
      <c r="H146" s="5">
        <v>-376427.72</v>
      </c>
      <c r="I146" t="s">
        <v>103</v>
      </c>
      <c r="J146">
        <v>1600011500</v>
      </c>
      <c r="K146" t="s">
        <v>103</v>
      </c>
      <c r="L146" s="5">
        <v>-376427.72</v>
      </c>
      <c r="M146" t="s">
        <v>104</v>
      </c>
      <c r="N146" t="s">
        <v>17</v>
      </c>
      <c r="O146" s="6">
        <v>164</v>
      </c>
    </row>
    <row r="147" spans="1:15" x14ac:dyDescent="0.3">
      <c r="A147" s="3">
        <v>1800024000</v>
      </c>
      <c r="B147" t="s">
        <v>102</v>
      </c>
      <c r="C147">
        <v>200077</v>
      </c>
      <c r="D147" t="str">
        <f>VLOOKUP(C147,'[1]CLIENTES '!C:D,2,FALSE)</f>
        <v>CORPORATIVO INTERNACIONAL MEXICANO</v>
      </c>
      <c r="E147" t="s">
        <v>14</v>
      </c>
      <c r="F147" s="4">
        <v>45838</v>
      </c>
      <c r="G147" s="4">
        <v>45838</v>
      </c>
      <c r="H147" s="5">
        <v>2597505.77</v>
      </c>
      <c r="I147" t="s">
        <v>105</v>
      </c>
      <c r="J147">
        <v>1800024000</v>
      </c>
      <c r="K147" t="s">
        <v>105</v>
      </c>
      <c r="L147" s="5">
        <v>2597505.77</v>
      </c>
      <c r="M147" t="s">
        <v>106</v>
      </c>
      <c r="N147" t="s">
        <v>21</v>
      </c>
      <c r="O147" s="6">
        <v>164</v>
      </c>
    </row>
    <row r="148" spans="1:15" x14ac:dyDescent="0.3">
      <c r="A148" s="3">
        <v>1800024500</v>
      </c>
      <c r="B148" t="s">
        <v>102</v>
      </c>
      <c r="C148">
        <v>200077</v>
      </c>
      <c r="D148" t="str">
        <f>VLOOKUP(C148,'[1]CLIENTES '!C:D,2,FALSE)</f>
        <v>CORPORATIVO INTERNACIONAL MEXICANO</v>
      </c>
      <c r="E148" t="s">
        <v>14</v>
      </c>
      <c r="F148" s="4">
        <v>45838</v>
      </c>
      <c r="G148" s="4">
        <v>45838</v>
      </c>
      <c r="H148" s="5">
        <v>4301414.5</v>
      </c>
      <c r="I148" t="s">
        <v>107</v>
      </c>
      <c r="J148">
        <v>1800024500</v>
      </c>
      <c r="K148" t="s">
        <v>107</v>
      </c>
      <c r="L148" s="5">
        <v>4301414.5</v>
      </c>
      <c r="M148" t="s">
        <v>108</v>
      </c>
      <c r="N148" t="s">
        <v>21</v>
      </c>
      <c r="O148" s="6">
        <v>164</v>
      </c>
    </row>
    <row r="149" spans="1:15" x14ac:dyDescent="0.3">
      <c r="B149" t="s">
        <v>24</v>
      </c>
      <c r="C149">
        <v>200077</v>
      </c>
      <c r="D149" t="str">
        <f>VLOOKUP(C149,'[1]CLIENTES '!C:D,2,FALSE)</f>
        <v>CORPORATIVO INTERNACIONAL MEXICANO</v>
      </c>
      <c r="E149" t="s">
        <v>24</v>
      </c>
      <c r="F149" s="4"/>
      <c r="G149" s="4"/>
      <c r="H149" s="5">
        <v>6522492.5499999998</v>
      </c>
      <c r="I149" t="s">
        <v>24</v>
      </c>
      <c r="K149" t="s">
        <v>24</v>
      </c>
      <c r="L149" s="5">
        <v>6522492.5499999998</v>
      </c>
      <c r="M149" t="s">
        <v>24</v>
      </c>
      <c r="N149" t="s">
        <v>24</v>
      </c>
      <c r="O149" s="6"/>
    </row>
    <row r="150" spans="1:15" x14ac:dyDescent="0.3">
      <c r="A150" s="3">
        <v>1400014000</v>
      </c>
      <c r="B150" t="s">
        <v>102</v>
      </c>
      <c r="C150">
        <v>200093</v>
      </c>
      <c r="D150" t="str">
        <f>VLOOKUP(C150,'[1]CLIENTES '!C:D,2,FALSE)</f>
        <v>SABRITAS</v>
      </c>
      <c r="E150" t="s">
        <v>14</v>
      </c>
      <c r="F150" s="4">
        <v>45825</v>
      </c>
      <c r="G150" s="4">
        <v>45825</v>
      </c>
      <c r="H150" s="5">
        <v>-1425623</v>
      </c>
      <c r="I150" t="s">
        <v>99</v>
      </c>
      <c r="J150">
        <v>1400014000</v>
      </c>
      <c r="K150" t="s">
        <v>99</v>
      </c>
      <c r="L150" s="5">
        <v>-1425623</v>
      </c>
      <c r="M150" t="s">
        <v>26</v>
      </c>
      <c r="N150" t="s">
        <v>27</v>
      </c>
      <c r="O150" s="6">
        <v>21</v>
      </c>
    </row>
    <row r="151" spans="1:15" x14ac:dyDescent="0.3">
      <c r="A151" s="3">
        <v>1400013500</v>
      </c>
      <c r="B151" t="s">
        <v>102</v>
      </c>
      <c r="C151">
        <v>200093</v>
      </c>
      <c r="D151" t="str">
        <f>VLOOKUP(C151,'[1]CLIENTES '!C:D,2,FALSE)</f>
        <v>SABRITAS</v>
      </c>
      <c r="E151" t="s">
        <v>14</v>
      </c>
      <c r="F151" s="4">
        <v>45825</v>
      </c>
      <c r="G151" s="4">
        <v>45825</v>
      </c>
      <c r="H151" s="5">
        <v>-1208424</v>
      </c>
      <c r="I151" t="s">
        <v>98</v>
      </c>
      <c r="J151">
        <v>1400013500</v>
      </c>
      <c r="K151" t="s">
        <v>98</v>
      </c>
      <c r="L151" s="5">
        <v>-1208424</v>
      </c>
      <c r="M151" t="s">
        <v>26</v>
      </c>
      <c r="N151" t="s">
        <v>27</v>
      </c>
      <c r="O151" s="6">
        <v>21</v>
      </c>
    </row>
    <row r="152" spans="1:15" x14ac:dyDescent="0.3">
      <c r="A152" s="3">
        <v>1400013000</v>
      </c>
      <c r="B152" t="s">
        <v>102</v>
      </c>
      <c r="C152">
        <v>200093</v>
      </c>
      <c r="D152" t="str">
        <f>VLOOKUP(C152,'[1]CLIENTES '!C:D,2,FALSE)</f>
        <v>SABRITAS</v>
      </c>
      <c r="E152" t="s">
        <v>14</v>
      </c>
      <c r="F152" s="4">
        <v>45825</v>
      </c>
      <c r="G152" s="4">
        <v>45825</v>
      </c>
      <c r="H152" s="5">
        <v>-575445</v>
      </c>
      <c r="I152" t="s">
        <v>97</v>
      </c>
      <c r="J152">
        <v>1400013000</v>
      </c>
      <c r="K152" t="s">
        <v>97</v>
      </c>
      <c r="L152" s="5">
        <v>-575445</v>
      </c>
      <c r="M152" t="s">
        <v>26</v>
      </c>
      <c r="N152" t="s">
        <v>27</v>
      </c>
      <c r="O152" s="6">
        <v>21</v>
      </c>
    </row>
    <row r="153" spans="1:15" x14ac:dyDescent="0.3">
      <c r="A153" s="3">
        <v>1400012500</v>
      </c>
      <c r="B153" t="s">
        <v>102</v>
      </c>
      <c r="C153">
        <v>200093</v>
      </c>
      <c r="D153" t="str">
        <f>VLOOKUP(C153,'[1]CLIENTES '!C:D,2,FALSE)</f>
        <v>SABRITAS</v>
      </c>
      <c r="E153" t="s">
        <v>14</v>
      </c>
      <c r="F153" s="4">
        <v>45825</v>
      </c>
      <c r="G153" s="4">
        <v>45825</v>
      </c>
      <c r="H153" s="5">
        <v>-427547</v>
      </c>
      <c r="I153" t="s">
        <v>96</v>
      </c>
      <c r="J153">
        <v>1400012500</v>
      </c>
      <c r="K153" t="s">
        <v>96</v>
      </c>
      <c r="L153" s="5">
        <v>-427547</v>
      </c>
      <c r="M153" t="s">
        <v>26</v>
      </c>
      <c r="N153" t="s">
        <v>27</v>
      </c>
      <c r="O153" s="6">
        <v>21</v>
      </c>
    </row>
    <row r="154" spans="1:15" x14ac:dyDescent="0.3">
      <c r="A154" s="3">
        <v>100106000</v>
      </c>
      <c r="B154" t="s">
        <v>102</v>
      </c>
      <c r="C154">
        <v>200093</v>
      </c>
      <c r="D154" t="str">
        <f>VLOOKUP(C154,'[1]CLIENTES '!C:D,2,FALSE)</f>
        <v>SABRITAS</v>
      </c>
      <c r="E154" t="s">
        <v>14</v>
      </c>
      <c r="F154" s="4">
        <v>45825</v>
      </c>
      <c r="G154" s="4">
        <v>45825</v>
      </c>
      <c r="H154" s="5">
        <v>0</v>
      </c>
      <c r="I154" t="s">
        <v>24</v>
      </c>
      <c r="J154">
        <v>100106000</v>
      </c>
      <c r="K154" t="s">
        <v>24</v>
      </c>
      <c r="L154" s="5">
        <v>0</v>
      </c>
      <c r="M154" t="s">
        <v>24</v>
      </c>
      <c r="N154" t="s">
        <v>31</v>
      </c>
      <c r="O154" s="6">
        <v>0</v>
      </c>
    </row>
    <row r="155" spans="1:15" x14ac:dyDescent="0.3">
      <c r="A155" s="3">
        <v>100106500</v>
      </c>
      <c r="B155" t="s">
        <v>102</v>
      </c>
      <c r="C155">
        <v>200093</v>
      </c>
      <c r="D155" t="str">
        <f>VLOOKUP(C155,'[1]CLIENTES '!C:D,2,FALSE)</f>
        <v>SABRITAS</v>
      </c>
      <c r="E155" t="s">
        <v>14</v>
      </c>
      <c r="F155" s="4">
        <v>45825</v>
      </c>
      <c r="G155" s="4">
        <v>45825</v>
      </c>
      <c r="H155" s="5">
        <v>0</v>
      </c>
      <c r="I155" t="s">
        <v>24</v>
      </c>
      <c r="J155">
        <v>100106500</v>
      </c>
      <c r="K155" t="s">
        <v>24</v>
      </c>
      <c r="L155" s="5">
        <v>0</v>
      </c>
      <c r="M155" t="s">
        <v>24</v>
      </c>
      <c r="N155" t="s">
        <v>31</v>
      </c>
      <c r="O155" s="6">
        <v>0</v>
      </c>
    </row>
    <row r="156" spans="1:15" x14ac:dyDescent="0.3">
      <c r="A156" s="3">
        <v>100107000</v>
      </c>
      <c r="B156" t="s">
        <v>102</v>
      </c>
      <c r="C156">
        <v>200093</v>
      </c>
      <c r="D156" t="str">
        <f>VLOOKUP(C156,'[1]CLIENTES '!C:D,2,FALSE)</f>
        <v>SABRITAS</v>
      </c>
      <c r="E156" t="s">
        <v>14</v>
      </c>
      <c r="F156" s="4">
        <v>45825</v>
      </c>
      <c r="G156" s="4">
        <v>45825</v>
      </c>
      <c r="H156" s="5">
        <v>0</v>
      </c>
      <c r="I156" t="s">
        <v>24</v>
      </c>
      <c r="J156">
        <v>100107000</v>
      </c>
      <c r="K156" t="s">
        <v>24</v>
      </c>
      <c r="L156" s="5">
        <v>0</v>
      </c>
      <c r="M156" t="s">
        <v>24</v>
      </c>
      <c r="N156" t="s">
        <v>31</v>
      </c>
      <c r="O156" s="6">
        <v>0</v>
      </c>
    </row>
    <row r="157" spans="1:15" x14ac:dyDescent="0.3">
      <c r="A157" s="3">
        <v>100025001</v>
      </c>
      <c r="B157" t="s">
        <v>102</v>
      </c>
      <c r="C157">
        <v>200093</v>
      </c>
      <c r="D157" t="str">
        <f>VLOOKUP(C157,'[1]CLIENTES '!C:D,2,FALSE)</f>
        <v>SABRITAS</v>
      </c>
      <c r="E157" t="s">
        <v>14</v>
      </c>
      <c r="F157" s="4">
        <v>45825</v>
      </c>
      <c r="G157" s="4">
        <v>45825</v>
      </c>
      <c r="H157" s="5">
        <v>0</v>
      </c>
      <c r="I157" t="s">
        <v>24</v>
      </c>
      <c r="J157">
        <v>100025001</v>
      </c>
      <c r="K157" t="s">
        <v>24</v>
      </c>
      <c r="L157" s="5">
        <v>0</v>
      </c>
      <c r="M157" t="s">
        <v>24</v>
      </c>
      <c r="N157" t="s">
        <v>31</v>
      </c>
      <c r="O157" s="6">
        <v>0</v>
      </c>
    </row>
    <row r="158" spans="1:15" x14ac:dyDescent="0.3">
      <c r="A158" s="3">
        <v>1800022000</v>
      </c>
      <c r="B158" t="s">
        <v>102</v>
      </c>
      <c r="C158">
        <v>200093</v>
      </c>
      <c r="D158" t="str">
        <f>VLOOKUP(C158,'[1]CLIENTES '!C:D,2,FALSE)</f>
        <v>SABRITAS</v>
      </c>
      <c r="E158" t="s">
        <v>14</v>
      </c>
      <c r="F158" s="4">
        <v>45835</v>
      </c>
      <c r="G158" s="4">
        <v>45835</v>
      </c>
      <c r="H158" s="5">
        <v>427547</v>
      </c>
      <c r="I158" t="s">
        <v>109</v>
      </c>
      <c r="J158">
        <v>1800022000</v>
      </c>
      <c r="K158" t="s">
        <v>109</v>
      </c>
      <c r="L158" s="5">
        <v>427547</v>
      </c>
      <c r="M158" t="s">
        <v>33</v>
      </c>
      <c r="N158" t="s">
        <v>21</v>
      </c>
      <c r="O158" s="6">
        <v>17</v>
      </c>
    </row>
    <row r="159" spans="1:15" x14ac:dyDescent="0.3">
      <c r="A159" s="3">
        <v>1800021500</v>
      </c>
      <c r="B159" t="s">
        <v>102</v>
      </c>
      <c r="C159">
        <v>200093</v>
      </c>
      <c r="D159" t="str">
        <f>VLOOKUP(C159,'[1]CLIENTES '!C:D,2,FALSE)</f>
        <v>SABRITAS</v>
      </c>
      <c r="E159" t="s">
        <v>14</v>
      </c>
      <c r="F159" s="4">
        <v>45835</v>
      </c>
      <c r="G159" s="4">
        <v>45835</v>
      </c>
      <c r="H159" s="5">
        <v>575445</v>
      </c>
      <c r="I159" t="s">
        <v>110</v>
      </c>
      <c r="J159">
        <v>1800021500</v>
      </c>
      <c r="K159" t="s">
        <v>110</v>
      </c>
      <c r="L159" s="5">
        <v>575445</v>
      </c>
      <c r="M159" t="s">
        <v>35</v>
      </c>
      <c r="N159" t="s">
        <v>21</v>
      </c>
      <c r="O159" s="6">
        <v>17</v>
      </c>
    </row>
    <row r="160" spans="1:15" x14ac:dyDescent="0.3">
      <c r="A160" s="3">
        <v>1800002001</v>
      </c>
      <c r="B160" t="s">
        <v>102</v>
      </c>
      <c r="C160">
        <v>200093</v>
      </c>
      <c r="D160" t="str">
        <f>VLOOKUP(C160,'[1]CLIENTES '!C:D,2,FALSE)</f>
        <v>SABRITAS</v>
      </c>
      <c r="E160" t="s">
        <v>14</v>
      </c>
      <c r="F160" s="4">
        <v>45835</v>
      </c>
      <c r="G160" s="4">
        <v>45835</v>
      </c>
      <c r="H160" s="5">
        <v>1208424</v>
      </c>
      <c r="I160" t="s">
        <v>111</v>
      </c>
      <c r="J160">
        <v>1800002001</v>
      </c>
      <c r="K160" t="s">
        <v>111</v>
      </c>
      <c r="L160" s="5">
        <v>1208424</v>
      </c>
      <c r="M160" t="s">
        <v>37</v>
      </c>
      <c r="N160" t="s">
        <v>21</v>
      </c>
      <c r="O160" s="6">
        <v>17</v>
      </c>
    </row>
    <row r="161" spans="1:15" x14ac:dyDescent="0.3">
      <c r="A161" s="3">
        <v>1800023000</v>
      </c>
      <c r="B161" t="s">
        <v>102</v>
      </c>
      <c r="C161">
        <v>200093</v>
      </c>
      <c r="D161" t="str">
        <f>VLOOKUP(C161,'[1]CLIENTES '!C:D,2,FALSE)</f>
        <v>SABRITAS</v>
      </c>
      <c r="E161" t="s">
        <v>14</v>
      </c>
      <c r="F161" s="4">
        <v>45835</v>
      </c>
      <c r="G161" s="4">
        <v>45835</v>
      </c>
      <c r="H161" s="5">
        <v>1425623</v>
      </c>
      <c r="I161" t="s">
        <v>112</v>
      </c>
      <c r="J161">
        <v>1800023000</v>
      </c>
      <c r="K161" t="s">
        <v>112</v>
      </c>
      <c r="L161" s="5">
        <v>1425623</v>
      </c>
      <c r="M161" t="s">
        <v>39</v>
      </c>
      <c r="N161" t="s">
        <v>21</v>
      </c>
      <c r="O161" s="6">
        <v>17</v>
      </c>
    </row>
    <row r="162" spans="1:15" x14ac:dyDescent="0.3">
      <c r="B162" t="s">
        <v>24</v>
      </c>
      <c r="C162">
        <v>200093</v>
      </c>
      <c r="D162" t="str">
        <f>VLOOKUP(C162,'[1]CLIENTES '!C:D,2,FALSE)</f>
        <v>SABRITAS</v>
      </c>
      <c r="E162" t="s">
        <v>24</v>
      </c>
      <c r="F162" s="4"/>
      <c r="G162" s="4"/>
      <c r="H162" s="5">
        <v>0</v>
      </c>
      <c r="I162" t="s">
        <v>24</v>
      </c>
      <c r="K162" t="s">
        <v>24</v>
      </c>
      <c r="L162" s="5">
        <v>0</v>
      </c>
      <c r="M162" t="s">
        <v>24</v>
      </c>
      <c r="N162" t="s">
        <v>24</v>
      </c>
      <c r="O162" s="6"/>
    </row>
    <row r="163" spans="1:15" x14ac:dyDescent="0.3">
      <c r="A163" s="3">
        <v>1400012000</v>
      </c>
      <c r="B163" t="s">
        <v>102</v>
      </c>
      <c r="C163">
        <v>200841</v>
      </c>
      <c r="D163" t="str">
        <f>VLOOKUP(C163,'[1]CLIENTES '!C:D,2,FALSE)</f>
        <v>COMERCIALIZADORA PEPSICO MEXICO</v>
      </c>
      <c r="E163" t="s">
        <v>14</v>
      </c>
      <c r="F163" s="4">
        <v>45825</v>
      </c>
      <c r="G163" s="4">
        <v>45825</v>
      </c>
      <c r="H163" s="5">
        <v>-663746</v>
      </c>
      <c r="I163" t="s">
        <v>100</v>
      </c>
      <c r="J163">
        <v>1400012000</v>
      </c>
      <c r="K163" t="s">
        <v>100</v>
      </c>
      <c r="L163" s="5">
        <v>-663746</v>
      </c>
      <c r="M163" t="s">
        <v>26</v>
      </c>
      <c r="N163" t="s">
        <v>27</v>
      </c>
      <c r="O163" s="6">
        <v>21</v>
      </c>
    </row>
    <row r="164" spans="1:15" x14ac:dyDescent="0.3">
      <c r="A164" s="3">
        <v>100105500</v>
      </c>
      <c r="B164" t="s">
        <v>102</v>
      </c>
      <c r="C164">
        <v>200841</v>
      </c>
      <c r="D164" t="str">
        <f>VLOOKUP(C164,'[1]CLIENTES '!C:D,2,FALSE)</f>
        <v>COMERCIALIZADORA PEPSICO MEXICO</v>
      </c>
      <c r="E164" t="s">
        <v>14</v>
      </c>
      <c r="F164" s="4">
        <v>45825</v>
      </c>
      <c r="G164" s="4">
        <v>45825</v>
      </c>
      <c r="H164" s="5">
        <v>0</v>
      </c>
      <c r="I164" t="s">
        <v>24</v>
      </c>
      <c r="J164">
        <v>100105500</v>
      </c>
      <c r="K164" t="s">
        <v>24</v>
      </c>
      <c r="L164" s="5">
        <v>0</v>
      </c>
      <c r="M164" t="s">
        <v>24</v>
      </c>
      <c r="N164" t="s">
        <v>31</v>
      </c>
      <c r="O164" s="6">
        <v>0</v>
      </c>
    </row>
    <row r="165" spans="1:15" x14ac:dyDescent="0.3">
      <c r="A165" s="3">
        <v>1800022500</v>
      </c>
      <c r="B165" t="s">
        <v>102</v>
      </c>
      <c r="C165">
        <v>200841</v>
      </c>
      <c r="D165" t="str">
        <f>VLOOKUP(C165,'[1]CLIENTES '!C:D,2,FALSE)</f>
        <v>COMERCIALIZADORA PEPSICO MEXICO</v>
      </c>
      <c r="E165" t="s">
        <v>14</v>
      </c>
      <c r="F165" s="4">
        <v>45835</v>
      </c>
      <c r="G165" s="4">
        <v>45835</v>
      </c>
      <c r="H165" s="5">
        <v>663746</v>
      </c>
      <c r="I165" t="s">
        <v>113</v>
      </c>
      <c r="J165">
        <v>1800022500</v>
      </c>
      <c r="K165" t="s">
        <v>113</v>
      </c>
      <c r="L165" s="5">
        <v>663746</v>
      </c>
      <c r="M165" t="s">
        <v>42</v>
      </c>
      <c r="N165" t="s">
        <v>21</v>
      </c>
      <c r="O165" s="6">
        <v>21</v>
      </c>
    </row>
    <row r="166" spans="1:15" x14ac:dyDescent="0.3">
      <c r="B166" t="s">
        <v>24</v>
      </c>
      <c r="C166">
        <v>200841</v>
      </c>
      <c r="D166" t="str">
        <f>VLOOKUP(C166,'[1]CLIENTES '!C:D,2,FALSE)</f>
        <v>COMERCIALIZADORA PEPSICO MEXICO</v>
      </c>
      <c r="E166" t="s">
        <v>24</v>
      </c>
      <c r="F166" s="4"/>
      <c r="G166" s="4"/>
      <c r="H166" s="5">
        <v>0</v>
      </c>
      <c r="I166" t="s">
        <v>24</v>
      </c>
      <c r="K166" t="s">
        <v>24</v>
      </c>
      <c r="L166" s="5">
        <v>0</v>
      </c>
      <c r="M166" t="s">
        <v>24</v>
      </c>
      <c r="N166" t="s">
        <v>24</v>
      </c>
      <c r="O166" s="6"/>
    </row>
    <row r="167" spans="1:15" x14ac:dyDescent="0.3">
      <c r="A167" s="3">
        <v>1800023500</v>
      </c>
      <c r="B167" t="s">
        <v>102</v>
      </c>
      <c r="C167">
        <v>201271</v>
      </c>
      <c r="D167" t="str">
        <f>VLOOKUP(C167,'[1]CLIENTES '!C:D,2,FALSE)</f>
        <v>PEPSICO STRAUSS FRESH DIPS &amp;</v>
      </c>
      <c r="E167" t="s">
        <v>14</v>
      </c>
      <c r="F167" s="4">
        <v>45835</v>
      </c>
      <c r="G167" s="4">
        <v>45835</v>
      </c>
      <c r="H167" s="5">
        <v>224328</v>
      </c>
      <c r="I167" t="s">
        <v>114</v>
      </c>
      <c r="J167">
        <v>1800023500</v>
      </c>
      <c r="K167" t="s">
        <v>114</v>
      </c>
      <c r="L167" s="5">
        <v>224328</v>
      </c>
      <c r="M167" t="s">
        <v>69</v>
      </c>
      <c r="N167" t="s">
        <v>21</v>
      </c>
      <c r="O167" s="6">
        <v>89</v>
      </c>
    </row>
    <row r="168" spans="1:15" x14ac:dyDescent="0.3">
      <c r="B168" t="s">
        <v>24</v>
      </c>
      <c r="C168">
        <v>201271</v>
      </c>
      <c r="D168" t="str">
        <f>VLOOKUP(C168,'[1]CLIENTES '!C:D,2,FALSE)</f>
        <v>PEPSICO STRAUSS FRESH DIPS &amp;</v>
      </c>
      <c r="E168" t="s">
        <v>24</v>
      </c>
      <c r="F168" s="4"/>
      <c r="G168" s="4"/>
      <c r="H168" s="5">
        <v>224328</v>
      </c>
      <c r="I168" t="s">
        <v>24</v>
      </c>
      <c r="K168" t="s">
        <v>24</v>
      </c>
      <c r="L168" s="5">
        <v>224328</v>
      </c>
      <c r="M168" t="s">
        <v>24</v>
      </c>
      <c r="N168" t="s">
        <v>24</v>
      </c>
      <c r="O168" s="6"/>
    </row>
    <row r="169" spans="1:15" x14ac:dyDescent="0.3">
      <c r="A169" s="3">
        <v>1600012000</v>
      </c>
      <c r="B169" t="s">
        <v>115</v>
      </c>
      <c r="C169">
        <v>200077</v>
      </c>
      <c r="D169" t="str">
        <f>VLOOKUP(C169,'[1]CLIENTES '!C:D,2,FALSE)</f>
        <v>CORPORATIVO INTERNACIONAL MEXICANO</v>
      </c>
      <c r="E169" t="s">
        <v>14</v>
      </c>
      <c r="F169" s="4">
        <v>45869</v>
      </c>
      <c r="G169" s="4">
        <v>45869</v>
      </c>
      <c r="H169" s="5">
        <v>-2593608.73</v>
      </c>
      <c r="I169" t="s">
        <v>116</v>
      </c>
      <c r="J169">
        <v>1600012000</v>
      </c>
      <c r="K169" t="s">
        <v>116</v>
      </c>
      <c r="L169" s="5">
        <v>-2593608.73</v>
      </c>
      <c r="M169" t="s">
        <v>117</v>
      </c>
      <c r="N169" t="s">
        <v>17</v>
      </c>
      <c r="O169" s="6">
        <v>133</v>
      </c>
    </row>
    <row r="170" spans="1:15" x14ac:dyDescent="0.3">
      <c r="A170" s="3">
        <v>1800029000</v>
      </c>
      <c r="B170" t="s">
        <v>115</v>
      </c>
      <c r="C170">
        <v>200077</v>
      </c>
      <c r="D170" t="str">
        <f>VLOOKUP(C170,'[1]CLIENTES '!C:D,2,FALSE)</f>
        <v>CORPORATIVO INTERNACIONAL MEXICANO</v>
      </c>
      <c r="E170" t="s">
        <v>14</v>
      </c>
      <c r="F170" s="4">
        <v>45869</v>
      </c>
      <c r="G170" s="4">
        <v>45869</v>
      </c>
      <c r="H170" s="5">
        <v>2680709.63</v>
      </c>
      <c r="I170" t="s">
        <v>118</v>
      </c>
      <c r="J170">
        <v>1800029000</v>
      </c>
      <c r="K170" t="s">
        <v>118</v>
      </c>
      <c r="L170" s="5">
        <v>2680709.63</v>
      </c>
      <c r="M170" t="s">
        <v>117</v>
      </c>
      <c r="N170" t="s">
        <v>21</v>
      </c>
      <c r="O170" s="6">
        <v>133</v>
      </c>
    </row>
    <row r="171" spans="1:15" x14ac:dyDescent="0.3">
      <c r="A171" s="3">
        <v>1800029500</v>
      </c>
      <c r="B171" t="s">
        <v>115</v>
      </c>
      <c r="C171">
        <v>200077</v>
      </c>
      <c r="D171" t="str">
        <f>VLOOKUP(C171,'[1]CLIENTES '!C:D,2,FALSE)</f>
        <v>CORPORATIVO INTERNACIONAL MEXICANO</v>
      </c>
      <c r="E171" t="s">
        <v>14</v>
      </c>
      <c r="F171" s="4">
        <v>45869</v>
      </c>
      <c r="G171" s="4">
        <v>45869</v>
      </c>
      <c r="H171" s="5">
        <v>5949542.3600000003</v>
      </c>
      <c r="I171" t="s">
        <v>119</v>
      </c>
      <c r="J171">
        <v>1800029500</v>
      </c>
      <c r="K171" t="s">
        <v>119</v>
      </c>
      <c r="L171" s="5">
        <v>5949542.3600000003</v>
      </c>
      <c r="M171" t="s">
        <v>120</v>
      </c>
      <c r="N171" t="s">
        <v>21</v>
      </c>
      <c r="O171" s="6">
        <v>133</v>
      </c>
    </row>
    <row r="172" spans="1:15" x14ac:dyDescent="0.3">
      <c r="B172" t="s">
        <v>24</v>
      </c>
      <c r="C172">
        <v>200077</v>
      </c>
      <c r="D172" t="str">
        <f>VLOOKUP(C172,'[1]CLIENTES '!C:D,2,FALSE)</f>
        <v>CORPORATIVO INTERNACIONAL MEXICANO</v>
      </c>
      <c r="E172" t="s">
        <v>24</v>
      </c>
      <c r="F172" s="4"/>
      <c r="G172" s="4"/>
      <c r="H172" s="5">
        <v>6036643.2599999998</v>
      </c>
      <c r="I172" t="s">
        <v>24</v>
      </c>
      <c r="K172" t="s">
        <v>24</v>
      </c>
      <c r="L172" s="5">
        <v>6036643.2599999998</v>
      </c>
      <c r="M172" t="s">
        <v>24</v>
      </c>
      <c r="N172" t="s">
        <v>24</v>
      </c>
      <c r="O172" s="6"/>
    </row>
    <row r="173" spans="1:15" x14ac:dyDescent="0.3">
      <c r="A173" s="3">
        <v>1400015500</v>
      </c>
      <c r="B173" t="s">
        <v>115</v>
      </c>
      <c r="C173">
        <v>200093</v>
      </c>
      <c r="D173" t="str">
        <f>VLOOKUP(C173,'[1]CLIENTES '!C:D,2,FALSE)</f>
        <v>SABRITAS</v>
      </c>
      <c r="E173" t="s">
        <v>14</v>
      </c>
      <c r="F173" s="4">
        <v>45852</v>
      </c>
      <c r="G173" s="4">
        <v>45852</v>
      </c>
      <c r="H173" s="5">
        <v>-1425623</v>
      </c>
      <c r="I173" t="s">
        <v>112</v>
      </c>
      <c r="J173">
        <v>1400015500</v>
      </c>
      <c r="K173" t="s">
        <v>112</v>
      </c>
      <c r="L173" s="5">
        <v>-1425623</v>
      </c>
      <c r="M173" t="s">
        <v>26</v>
      </c>
      <c r="N173" t="s">
        <v>27</v>
      </c>
      <c r="O173" s="6">
        <v>17</v>
      </c>
    </row>
    <row r="174" spans="1:15" x14ac:dyDescent="0.3">
      <c r="A174" s="3">
        <v>1400014501</v>
      </c>
      <c r="B174" t="s">
        <v>115</v>
      </c>
      <c r="C174">
        <v>200093</v>
      </c>
      <c r="D174" t="str">
        <f>VLOOKUP(C174,'[1]CLIENTES '!C:D,2,FALSE)</f>
        <v>SABRITAS</v>
      </c>
      <c r="E174" t="s">
        <v>14</v>
      </c>
      <c r="F174" s="4">
        <v>45852</v>
      </c>
      <c r="G174" s="4">
        <v>45852</v>
      </c>
      <c r="H174" s="5">
        <v>-1208424</v>
      </c>
      <c r="I174" t="s">
        <v>111</v>
      </c>
      <c r="J174">
        <v>1400014501</v>
      </c>
      <c r="K174" t="s">
        <v>111</v>
      </c>
      <c r="L174" s="5">
        <v>-1208424</v>
      </c>
      <c r="M174" t="s">
        <v>26</v>
      </c>
      <c r="N174" t="s">
        <v>27</v>
      </c>
      <c r="O174" s="6">
        <v>17</v>
      </c>
    </row>
    <row r="175" spans="1:15" x14ac:dyDescent="0.3">
      <c r="A175" s="3">
        <v>1400014500</v>
      </c>
      <c r="B175" t="s">
        <v>115</v>
      </c>
      <c r="C175">
        <v>200093</v>
      </c>
      <c r="D175" t="str">
        <f>VLOOKUP(C175,'[1]CLIENTES '!C:D,2,FALSE)</f>
        <v>SABRITAS</v>
      </c>
      <c r="E175" t="s">
        <v>14</v>
      </c>
      <c r="F175" s="4">
        <v>45852</v>
      </c>
      <c r="G175" s="4">
        <v>45852</v>
      </c>
      <c r="H175" s="5">
        <v>-575445</v>
      </c>
      <c r="I175" t="s">
        <v>110</v>
      </c>
      <c r="J175">
        <v>1400014500</v>
      </c>
      <c r="K175" t="s">
        <v>110</v>
      </c>
      <c r="L175" s="5">
        <v>-575445</v>
      </c>
      <c r="M175" t="s">
        <v>26</v>
      </c>
      <c r="N175" t="s">
        <v>27</v>
      </c>
      <c r="O175" s="6">
        <v>17</v>
      </c>
    </row>
    <row r="176" spans="1:15" x14ac:dyDescent="0.3">
      <c r="A176" s="3">
        <v>1400015000</v>
      </c>
      <c r="B176" t="s">
        <v>115</v>
      </c>
      <c r="C176">
        <v>200093</v>
      </c>
      <c r="D176" t="str">
        <f>VLOOKUP(C176,'[1]CLIENTES '!C:D,2,FALSE)</f>
        <v>SABRITAS</v>
      </c>
      <c r="E176" t="s">
        <v>14</v>
      </c>
      <c r="F176" s="4">
        <v>45852</v>
      </c>
      <c r="G176" s="4">
        <v>45852</v>
      </c>
      <c r="H176" s="5">
        <v>-427547</v>
      </c>
      <c r="I176" t="s">
        <v>109</v>
      </c>
      <c r="J176">
        <v>1400015000</v>
      </c>
      <c r="K176" t="s">
        <v>109</v>
      </c>
      <c r="L176" s="5">
        <v>-427547</v>
      </c>
      <c r="M176" t="s">
        <v>26</v>
      </c>
      <c r="N176" t="s">
        <v>27</v>
      </c>
      <c r="O176" s="6">
        <v>17</v>
      </c>
    </row>
    <row r="177" spans="1:15" x14ac:dyDescent="0.3">
      <c r="A177" s="3">
        <v>1400017000</v>
      </c>
      <c r="B177" t="s">
        <v>115</v>
      </c>
      <c r="C177">
        <v>200093</v>
      </c>
      <c r="D177" t="str">
        <f>VLOOKUP(C177,'[1]CLIENTES '!C:D,2,FALSE)</f>
        <v>SABRITAS</v>
      </c>
      <c r="E177" t="s">
        <v>14</v>
      </c>
      <c r="F177" s="4">
        <v>45862</v>
      </c>
      <c r="G177" s="4">
        <v>45862</v>
      </c>
      <c r="H177" s="5">
        <v>-343523.56</v>
      </c>
      <c r="I177" t="s">
        <v>121</v>
      </c>
      <c r="J177">
        <v>1400017000</v>
      </c>
      <c r="K177" t="s">
        <v>121</v>
      </c>
      <c r="L177" s="5">
        <v>-343523.56</v>
      </c>
      <c r="M177" t="s">
        <v>26</v>
      </c>
      <c r="N177" t="s">
        <v>27</v>
      </c>
      <c r="O177" s="6">
        <v>3</v>
      </c>
    </row>
    <row r="178" spans="1:15" x14ac:dyDescent="0.3">
      <c r="A178" s="3">
        <v>1400016500</v>
      </c>
      <c r="B178" t="s">
        <v>115</v>
      </c>
      <c r="C178">
        <v>200093</v>
      </c>
      <c r="D178" t="str">
        <f>VLOOKUP(C178,'[1]CLIENTES '!C:D,2,FALSE)</f>
        <v>SABRITAS</v>
      </c>
      <c r="E178" t="s">
        <v>14</v>
      </c>
      <c r="F178" s="4">
        <v>45862</v>
      </c>
      <c r="G178" s="4">
        <v>45862</v>
      </c>
      <c r="H178" s="5">
        <v>-299147.76</v>
      </c>
      <c r="I178" t="s">
        <v>122</v>
      </c>
      <c r="J178">
        <v>1400016500</v>
      </c>
      <c r="K178" t="s">
        <v>122</v>
      </c>
      <c r="L178" s="5">
        <v>-299147.76</v>
      </c>
      <c r="M178" t="s">
        <v>26</v>
      </c>
      <c r="N178" t="s">
        <v>27</v>
      </c>
      <c r="O178" s="6">
        <v>3</v>
      </c>
    </row>
    <row r="179" spans="1:15" x14ac:dyDescent="0.3">
      <c r="A179" s="3">
        <v>100122000</v>
      </c>
      <c r="B179" t="s">
        <v>115</v>
      </c>
      <c r="C179">
        <v>200093</v>
      </c>
      <c r="D179" t="str">
        <f>VLOOKUP(C179,'[1]CLIENTES '!C:D,2,FALSE)</f>
        <v>SABRITAS</v>
      </c>
      <c r="E179" t="s">
        <v>14</v>
      </c>
      <c r="F179" s="4">
        <v>45852</v>
      </c>
      <c r="G179" s="4">
        <v>45852</v>
      </c>
      <c r="H179" s="5">
        <v>0</v>
      </c>
      <c r="I179" t="s">
        <v>24</v>
      </c>
      <c r="J179">
        <v>100122000</v>
      </c>
      <c r="K179" t="s">
        <v>24</v>
      </c>
      <c r="L179" s="5">
        <v>0</v>
      </c>
      <c r="M179" t="s">
        <v>24</v>
      </c>
      <c r="N179" t="s">
        <v>31</v>
      </c>
      <c r="O179" s="6">
        <v>0</v>
      </c>
    </row>
    <row r="180" spans="1:15" x14ac:dyDescent="0.3">
      <c r="A180" s="3">
        <v>100131001</v>
      </c>
      <c r="B180" t="s">
        <v>115</v>
      </c>
      <c r="C180">
        <v>200093</v>
      </c>
      <c r="D180" t="str">
        <f>VLOOKUP(C180,'[1]CLIENTES '!C:D,2,FALSE)</f>
        <v>SABRITAS</v>
      </c>
      <c r="E180" t="s">
        <v>14</v>
      </c>
      <c r="F180" s="4">
        <v>45862</v>
      </c>
      <c r="G180" s="4">
        <v>45862</v>
      </c>
      <c r="H180" s="5">
        <v>0</v>
      </c>
      <c r="I180" t="s">
        <v>24</v>
      </c>
      <c r="J180">
        <v>100131001</v>
      </c>
      <c r="K180" t="s">
        <v>24</v>
      </c>
      <c r="L180" s="5">
        <v>0</v>
      </c>
      <c r="M180" t="s">
        <v>24</v>
      </c>
      <c r="N180" t="s">
        <v>31</v>
      </c>
      <c r="O180" s="6">
        <v>0</v>
      </c>
    </row>
    <row r="181" spans="1:15" x14ac:dyDescent="0.3">
      <c r="A181" s="3">
        <v>100131000</v>
      </c>
      <c r="B181" t="s">
        <v>115</v>
      </c>
      <c r="C181">
        <v>200093</v>
      </c>
      <c r="D181" t="str">
        <f>VLOOKUP(C181,'[1]CLIENTES '!C:D,2,FALSE)</f>
        <v>SABRITAS</v>
      </c>
      <c r="E181" t="s">
        <v>14</v>
      </c>
      <c r="F181" s="4">
        <v>45862</v>
      </c>
      <c r="G181" s="4">
        <v>45862</v>
      </c>
      <c r="H181" s="5">
        <v>0</v>
      </c>
      <c r="I181" t="s">
        <v>24</v>
      </c>
      <c r="J181">
        <v>100131000</v>
      </c>
      <c r="K181" t="s">
        <v>24</v>
      </c>
      <c r="L181" s="5">
        <v>0</v>
      </c>
      <c r="M181" t="s">
        <v>24</v>
      </c>
      <c r="N181" t="s">
        <v>31</v>
      </c>
      <c r="O181" s="6">
        <v>0</v>
      </c>
    </row>
    <row r="182" spans="1:15" x14ac:dyDescent="0.3">
      <c r="A182" s="3">
        <v>100121500</v>
      </c>
      <c r="B182" t="s">
        <v>115</v>
      </c>
      <c r="C182">
        <v>200093</v>
      </c>
      <c r="D182" t="str">
        <f>VLOOKUP(C182,'[1]CLIENTES '!C:D,2,FALSE)</f>
        <v>SABRITAS</v>
      </c>
      <c r="E182" t="s">
        <v>14</v>
      </c>
      <c r="F182" s="4">
        <v>45852</v>
      </c>
      <c r="G182" s="4">
        <v>45852</v>
      </c>
      <c r="H182" s="5">
        <v>0</v>
      </c>
      <c r="I182" t="s">
        <v>24</v>
      </c>
      <c r="J182">
        <v>100121500</v>
      </c>
      <c r="K182" t="s">
        <v>24</v>
      </c>
      <c r="L182" s="5">
        <v>0</v>
      </c>
      <c r="M182" t="s">
        <v>24</v>
      </c>
      <c r="N182" t="s">
        <v>31</v>
      </c>
      <c r="O182" s="6">
        <v>0</v>
      </c>
    </row>
    <row r="183" spans="1:15" x14ac:dyDescent="0.3">
      <c r="A183" s="3">
        <v>100121501</v>
      </c>
      <c r="B183" t="s">
        <v>115</v>
      </c>
      <c r="C183">
        <v>200093</v>
      </c>
      <c r="D183" t="str">
        <f>VLOOKUP(C183,'[1]CLIENTES '!C:D,2,FALSE)</f>
        <v>SABRITAS</v>
      </c>
      <c r="E183" t="s">
        <v>14</v>
      </c>
      <c r="F183" s="4">
        <v>45852</v>
      </c>
      <c r="G183" s="4">
        <v>45852</v>
      </c>
      <c r="H183" s="5">
        <v>0</v>
      </c>
      <c r="I183" t="s">
        <v>24</v>
      </c>
      <c r="J183">
        <v>100121501</v>
      </c>
      <c r="K183" t="s">
        <v>24</v>
      </c>
      <c r="L183" s="5">
        <v>0</v>
      </c>
      <c r="M183" t="s">
        <v>24</v>
      </c>
      <c r="N183" t="s">
        <v>31</v>
      </c>
      <c r="O183" s="6">
        <v>0</v>
      </c>
    </row>
    <row r="184" spans="1:15" x14ac:dyDescent="0.3">
      <c r="A184" s="3">
        <v>100122500</v>
      </c>
      <c r="B184" t="s">
        <v>115</v>
      </c>
      <c r="C184">
        <v>200093</v>
      </c>
      <c r="D184" t="str">
        <f>VLOOKUP(C184,'[1]CLIENTES '!C:D,2,FALSE)</f>
        <v>SABRITAS</v>
      </c>
      <c r="E184" t="s">
        <v>14</v>
      </c>
      <c r="F184" s="4">
        <v>45852</v>
      </c>
      <c r="G184" s="4">
        <v>45852</v>
      </c>
      <c r="H184" s="5">
        <v>0</v>
      </c>
      <c r="I184" t="s">
        <v>24</v>
      </c>
      <c r="J184">
        <v>100122500</v>
      </c>
      <c r="K184" t="s">
        <v>24</v>
      </c>
      <c r="L184" s="5">
        <v>0</v>
      </c>
      <c r="M184" t="s">
        <v>24</v>
      </c>
      <c r="N184" t="s">
        <v>31</v>
      </c>
      <c r="O184" s="6">
        <v>0</v>
      </c>
    </row>
    <row r="185" spans="1:15" x14ac:dyDescent="0.3">
      <c r="A185" s="3">
        <v>1800025500</v>
      </c>
      <c r="B185" t="s">
        <v>115</v>
      </c>
      <c r="C185">
        <v>200093</v>
      </c>
      <c r="D185" t="str">
        <f>VLOOKUP(C185,'[1]CLIENTES '!C:D,2,FALSE)</f>
        <v>SABRITAS</v>
      </c>
      <c r="E185" t="s">
        <v>14</v>
      </c>
      <c r="F185" s="4">
        <v>45859</v>
      </c>
      <c r="G185" s="4">
        <v>45859</v>
      </c>
      <c r="H185" s="5">
        <v>299147.76</v>
      </c>
      <c r="I185" t="s">
        <v>122</v>
      </c>
      <c r="J185">
        <v>1800025500</v>
      </c>
      <c r="K185" t="s">
        <v>122</v>
      </c>
      <c r="L185" s="5">
        <v>299147.76</v>
      </c>
      <c r="M185" t="s">
        <v>123</v>
      </c>
      <c r="N185" t="s">
        <v>21</v>
      </c>
      <c r="O185" s="6">
        <v>3</v>
      </c>
    </row>
    <row r="186" spans="1:15" x14ac:dyDescent="0.3">
      <c r="A186" s="3">
        <v>1800025000</v>
      </c>
      <c r="B186" t="s">
        <v>115</v>
      </c>
      <c r="C186">
        <v>200093</v>
      </c>
      <c r="D186" t="str">
        <f>VLOOKUP(C186,'[1]CLIENTES '!C:D,2,FALSE)</f>
        <v>SABRITAS</v>
      </c>
      <c r="E186" t="s">
        <v>14</v>
      </c>
      <c r="F186" s="4">
        <v>45859</v>
      </c>
      <c r="G186" s="4">
        <v>45859</v>
      </c>
      <c r="H186" s="5">
        <v>343523.56</v>
      </c>
      <c r="I186" t="s">
        <v>121</v>
      </c>
      <c r="J186">
        <v>1800025000</v>
      </c>
      <c r="K186" t="s">
        <v>121</v>
      </c>
      <c r="L186" s="5">
        <v>343523.56</v>
      </c>
      <c r="M186" t="s">
        <v>123</v>
      </c>
      <c r="N186" t="s">
        <v>21</v>
      </c>
      <c r="O186" s="6">
        <v>3</v>
      </c>
    </row>
    <row r="187" spans="1:15" x14ac:dyDescent="0.3">
      <c r="A187" s="3">
        <v>1800026500</v>
      </c>
      <c r="B187" t="s">
        <v>115</v>
      </c>
      <c r="C187">
        <v>200093</v>
      </c>
      <c r="D187" t="str">
        <f>VLOOKUP(C187,'[1]CLIENTES '!C:D,2,FALSE)</f>
        <v>SABRITAS</v>
      </c>
      <c r="E187" t="s">
        <v>14</v>
      </c>
      <c r="F187" s="4">
        <v>45867</v>
      </c>
      <c r="G187" s="4">
        <v>45867</v>
      </c>
      <c r="H187" s="5">
        <v>427547</v>
      </c>
      <c r="I187" t="s">
        <v>124</v>
      </c>
      <c r="J187">
        <v>1800026500</v>
      </c>
      <c r="K187" t="s">
        <v>124</v>
      </c>
      <c r="L187" s="5">
        <v>427547</v>
      </c>
      <c r="M187" t="s">
        <v>33</v>
      </c>
      <c r="N187" t="s">
        <v>21</v>
      </c>
      <c r="O187" s="6">
        <v>17</v>
      </c>
    </row>
    <row r="188" spans="1:15" x14ac:dyDescent="0.3">
      <c r="A188" s="3">
        <v>1800026000</v>
      </c>
      <c r="B188" t="s">
        <v>115</v>
      </c>
      <c r="C188">
        <v>200093</v>
      </c>
      <c r="D188" t="str">
        <f>VLOOKUP(C188,'[1]CLIENTES '!C:D,2,FALSE)</f>
        <v>SABRITAS</v>
      </c>
      <c r="E188" t="s">
        <v>14</v>
      </c>
      <c r="F188" s="4">
        <v>45867</v>
      </c>
      <c r="G188" s="4">
        <v>45867</v>
      </c>
      <c r="H188" s="5">
        <v>575445</v>
      </c>
      <c r="I188" t="s">
        <v>125</v>
      </c>
      <c r="J188">
        <v>1800026000</v>
      </c>
      <c r="K188" t="s">
        <v>125</v>
      </c>
      <c r="L188" s="5">
        <v>575445</v>
      </c>
      <c r="M188" t="s">
        <v>35</v>
      </c>
      <c r="N188" t="s">
        <v>21</v>
      </c>
      <c r="O188" s="6">
        <v>17</v>
      </c>
    </row>
    <row r="189" spans="1:15" x14ac:dyDescent="0.3">
      <c r="A189" s="3">
        <v>1800027000</v>
      </c>
      <c r="B189" t="s">
        <v>115</v>
      </c>
      <c r="C189">
        <v>200093</v>
      </c>
      <c r="D189" t="str">
        <f>VLOOKUP(C189,'[1]CLIENTES '!C:D,2,FALSE)</f>
        <v>SABRITAS</v>
      </c>
      <c r="E189" t="s">
        <v>14</v>
      </c>
      <c r="F189" s="4">
        <v>45867</v>
      </c>
      <c r="G189" s="4">
        <v>45867</v>
      </c>
      <c r="H189" s="5">
        <v>1208424</v>
      </c>
      <c r="I189" t="s">
        <v>126</v>
      </c>
      <c r="J189">
        <v>1800027000</v>
      </c>
      <c r="K189" t="s">
        <v>126</v>
      </c>
      <c r="L189" s="5">
        <v>1208424</v>
      </c>
      <c r="M189" t="s">
        <v>37</v>
      </c>
      <c r="N189" t="s">
        <v>21</v>
      </c>
      <c r="O189" s="6">
        <v>17</v>
      </c>
    </row>
    <row r="190" spans="1:15" x14ac:dyDescent="0.3">
      <c r="A190" s="3">
        <v>1800028000</v>
      </c>
      <c r="B190" t="s">
        <v>115</v>
      </c>
      <c r="C190">
        <v>200093</v>
      </c>
      <c r="D190" t="str">
        <f>VLOOKUP(C190,'[1]CLIENTES '!C:D,2,FALSE)</f>
        <v>SABRITAS</v>
      </c>
      <c r="E190" t="s">
        <v>14</v>
      </c>
      <c r="F190" s="4">
        <v>45867</v>
      </c>
      <c r="G190" s="4">
        <v>45867</v>
      </c>
      <c r="H190" s="5">
        <v>1425623</v>
      </c>
      <c r="I190" t="s">
        <v>127</v>
      </c>
      <c r="J190">
        <v>1800028000</v>
      </c>
      <c r="K190" t="s">
        <v>127</v>
      </c>
      <c r="L190" s="5">
        <v>1425623</v>
      </c>
      <c r="M190" t="s">
        <v>39</v>
      </c>
      <c r="N190" t="s">
        <v>21</v>
      </c>
      <c r="O190" s="6">
        <v>17</v>
      </c>
    </row>
    <row r="191" spans="1:15" x14ac:dyDescent="0.3">
      <c r="B191" t="s">
        <v>24</v>
      </c>
      <c r="C191">
        <v>200093</v>
      </c>
      <c r="D191" t="str">
        <f>VLOOKUP(C191,'[1]CLIENTES '!C:D,2,FALSE)</f>
        <v>SABRITAS</v>
      </c>
      <c r="E191" t="s">
        <v>24</v>
      </c>
      <c r="F191" s="4"/>
      <c r="G191" s="4"/>
      <c r="H191" s="5">
        <v>0</v>
      </c>
      <c r="I191" t="s">
        <v>24</v>
      </c>
      <c r="K191" t="s">
        <v>24</v>
      </c>
      <c r="L191" s="5">
        <v>0</v>
      </c>
      <c r="M191" t="s">
        <v>24</v>
      </c>
      <c r="N191" t="s">
        <v>24</v>
      </c>
      <c r="O191" s="6"/>
    </row>
    <row r="192" spans="1:15" x14ac:dyDescent="0.3">
      <c r="A192" s="3">
        <v>1400016000</v>
      </c>
      <c r="B192" t="s">
        <v>115</v>
      </c>
      <c r="C192">
        <v>200841</v>
      </c>
      <c r="D192" t="str">
        <f>VLOOKUP(C192,'[1]CLIENTES '!C:D,2,FALSE)</f>
        <v>COMERCIALIZADORA PEPSICO MEXICO</v>
      </c>
      <c r="E192" t="s">
        <v>14</v>
      </c>
      <c r="F192" s="4">
        <v>45856</v>
      </c>
      <c r="G192" s="4">
        <v>45856</v>
      </c>
      <c r="H192" s="5">
        <v>-663746</v>
      </c>
      <c r="I192" t="s">
        <v>113</v>
      </c>
      <c r="J192">
        <v>1400016000</v>
      </c>
      <c r="K192" t="s">
        <v>113</v>
      </c>
      <c r="L192" s="5">
        <v>-663746</v>
      </c>
      <c r="M192" t="s">
        <v>26</v>
      </c>
      <c r="N192" t="s">
        <v>27</v>
      </c>
      <c r="O192" s="6">
        <v>21</v>
      </c>
    </row>
    <row r="193" spans="1:15" x14ac:dyDescent="0.3">
      <c r="A193" s="3">
        <v>100128500</v>
      </c>
      <c r="B193" t="s">
        <v>115</v>
      </c>
      <c r="C193">
        <v>200841</v>
      </c>
      <c r="D193" t="str">
        <f>VLOOKUP(C193,'[1]CLIENTES '!C:D,2,FALSE)</f>
        <v>COMERCIALIZADORA PEPSICO MEXICO</v>
      </c>
      <c r="E193" t="s">
        <v>14</v>
      </c>
      <c r="F193" s="4">
        <v>45856</v>
      </c>
      <c r="G193" s="4">
        <v>45856</v>
      </c>
      <c r="H193" s="5">
        <v>0</v>
      </c>
      <c r="I193" t="s">
        <v>24</v>
      </c>
      <c r="J193">
        <v>100128500</v>
      </c>
      <c r="K193" t="s">
        <v>24</v>
      </c>
      <c r="L193" s="5">
        <v>0</v>
      </c>
      <c r="M193" t="s">
        <v>24</v>
      </c>
      <c r="N193" t="s">
        <v>31</v>
      </c>
      <c r="O193" s="6">
        <v>0</v>
      </c>
    </row>
    <row r="194" spans="1:15" x14ac:dyDescent="0.3">
      <c r="A194" s="3">
        <v>1800027500</v>
      </c>
      <c r="B194" t="s">
        <v>115</v>
      </c>
      <c r="C194">
        <v>200841</v>
      </c>
      <c r="D194" t="str">
        <f>VLOOKUP(C194,'[1]CLIENTES '!C:D,2,FALSE)</f>
        <v>COMERCIALIZADORA PEPSICO MEXICO</v>
      </c>
      <c r="E194" t="s">
        <v>14</v>
      </c>
      <c r="F194" s="4">
        <v>45867</v>
      </c>
      <c r="G194" s="4">
        <v>45867</v>
      </c>
      <c r="H194" s="5">
        <v>663746</v>
      </c>
      <c r="I194" t="s">
        <v>128</v>
      </c>
      <c r="J194">
        <v>1800027500</v>
      </c>
      <c r="K194" t="s">
        <v>128</v>
      </c>
      <c r="L194" s="5">
        <v>663746</v>
      </c>
      <c r="M194" t="s">
        <v>42</v>
      </c>
      <c r="N194" t="s">
        <v>21</v>
      </c>
      <c r="O194" s="6">
        <v>17</v>
      </c>
    </row>
    <row r="195" spans="1:15" x14ac:dyDescent="0.3">
      <c r="B195" t="s">
        <v>24</v>
      </c>
      <c r="C195">
        <v>200841</v>
      </c>
      <c r="D195" t="str">
        <f>VLOOKUP(C195,'[1]CLIENTES '!C:D,2,FALSE)</f>
        <v>COMERCIALIZADORA PEPSICO MEXICO</v>
      </c>
      <c r="E195" t="s">
        <v>24</v>
      </c>
      <c r="F195" s="4"/>
      <c r="G195" s="4"/>
      <c r="H195" s="5">
        <v>0</v>
      </c>
      <c r="I195" t="s">
        <v>24</v>
      </c>
      <c r="K195" t="s">
        <v>24</v>
      </c>
      <c r="L195" s="5">
        <v>0</v>
      </c>
      <c r="M195" t="s">
        <v>24</v>
      </c>
      <c r="N195" t="s">
        <v>24</v>
      </c>
      <c r="O195" s="6"/>
    </row>
    <row r="196" spans="1:15" x14ac:dyDescent="0.3">
      <c r="A196" s="3">
        <v>1800028500</v>
      </c>
      <c r="B196" t="s">
        <v>115</v>
      </c>
      <c r="C196">
        <v>201271</v>
      </c>
      <c r="D196" t="str">
        <f>VLOOKUP(C196,'[1]CLIENTES '!C:D,2,FALSE)</f>
        <v>PEPSICO STRAUSS FRESH DIPS &amp;</v>
      </c>
      <c r="E196" t="s">
        <v>14</v>
      </c>
      <c r="F196" s="4">
        <v>45867</v>
      </c>
      <c r="G196" s="4">
        <v>45867</v>
      </c>
      <c r="H196" s="5">
        <v>224328</v>
      </c>
      <c r="I196" t="s">
        <v>129</v>
      </c>
      <c r="J196">
        <v>1800028500</v>
      </c>
      <c r="K196" t="s">
        <v>129</v>
      </c>
      <c r="L196" s="5">
        <v>224328</v>
      </c>
      <c r="M196" t="s">
        <v>69</v>
      </c>
      <c r="N196" t="s">
        <v>21</v>
      </c>
      <c r="O196" s="6">
        <v>57</v>
      </c>
    </row>
    <row r="197" spans="1:15" x14ac:dyDescent="0.3">
      <c r="B197" t="s">
        <v>24</v>
      </c>
      <c r="C197">
        <v>201271</v>
      </c>
      <c r="D197" t="str">
        <f>VLOOKUP(C197,'[1]CLIENTES '!C:D,2,FALSE)</f>
        <v>PEPSICO STRAUSS FRESH DIPS &amp;</v>
      </c>
      <c r="E197" t="s">
        <v>24</v>
      </c>
      <c r="F197" s="4"/>
      <c r="G197" s="4"/>
      <c r="H197" s="5">
        <v>224328</v>
      </c>
      <c r="I197" t="s">
        <v>24</v>
      </c>
      <c r="K197" t="s">
        <v>24</v>
      </c>
      <c r="L197" s="5">
        <v>224328</v>
      </c>
      <c r="M197" t="s">
        <v>24</v>
      </c>
      <c r="N197" t="s">
        <v>24</v>
      </c>
      <c r="O197" s="6"/>
    </row>
    <row r="198" spans="1:15" x14ac:dyDescent="0.3">
      <c r="A198" s="3">
        <v>1600012500</v>
      </c>
      <c r="B198" t="s">
        <v>130</v>
      </c>
      <c r="C198">
        <v>200077</v>
      </c>
      <c r="D198" t="str">
        <f>VLOOKUP(C198,'[1]CLIENTES '!C:D,2,FALSE)</f>
        <v>CORPORATIVO INTERNACIONAL MEXICANO</v>
      </c>
      <c r="E198" t="s">
        <v>14</v>
      </c>
      <c r="F198" s="4">
        <v>45900</v>
      </c>
      <c r="G198" s="4">
        <v>45900</v>
      </c>
      <c r="H198" s="5">
        <v>-3080279.93</v>
      </c>
      <c r="I198" t="s">
        <v>131</v>
      </c>
      <c r="J198">
        <v>1600012500</v>
      </c>
      <c r="K198" t="s">
        <v>131</v>
      </c>
      <c r="L198" s="5">
        <v>-3080279.93</v>
      </c>
      <c r="M198" t="s">
        <v>132</v>
      </c>
      <c r="N198" t="s">
        <v>17</v>
      </c>
      <c r="O198" s="6">
        <v>102</v>
      </c>
    </row>
    <row r="199" spans="1:15" x14ac:dyDescent="0.3">
      <c r="A199" s="3">
        <v>1800032000</v>
      </c>
      <c r="B199" t="s">
        <v>130</v>
      </c>
      <c r="C199">
        <v>200077</v>
      </c>
      <c r="D199" t="str">
        <f>VLOOKUP(C199,'[1]CLIENTES '!C:D,2,FALSE)</f>
        <v>CORPORATIVO INTERNACIONAL MEXICANO</v>
      </c>
      <c r="E199" t="s">
        <v>14</v>
      </c>
      <c r="F199" s="4">
        <v>45900</v>
      </c>
      <c r="G199" s="4">
        <v>45900</v>
      </c>
      <c r="H199" s="5">
        <v>2553666.0699999998</v>
      </c>
      <c r="I199" t="s">
        <v>133</v>
      </c>
      <c r="J199">
        <v>1800032000</v>
      </c>
      <c r="K199" t="s">
        <v>133</v>
      </c>
      <c r="L199" s="5">
        <v>2553666.0699999998</v>
      </c>
      <c r="M199" t="s">
        <v>134</v>
      </c>
      <c r="N199" t="s">
        <v>21</v>
      </c>
      <c r="O199" s="6">
        <v>102</v>
      </c>
    </row>
    <row r="200" spans="1:15" x14ac:dyDescent="0.3">
      <c r="A200" s="3">
        <v>1800026501</v>
      </c>
      <c r="B200" t="s">
        <v>130</v>
      </c>
      <c r="C200">
        <v>200077</v>
      </c>
      <c r="D200" t="str">
        <f>VLOOKUP(C200,'[1]CLIENTES '!C:D,2,FALSE)</f>
        <v>CORPORATIVO INTERNACIONAL MEXICANO</v>
      </c>
      <c r="E200" t="s">
        <v>14</v>
      </c>
      <c r="F200" s="4">
        <v>45900</v>
      </c>
      <c r="G200" s="4">
        <v>45900</v>
      </c>
      <c r="H200" s="5">
        <v>5050470.66</v>
      </c>
      <c r="I200" t="s">
        <v>135</v>
      </c>
      <c r="J200">
        <v>1800026501</v>
      </c>
      <c r="K200" t="s">
        <v>135</v>
      </c>
      <c r="L200" s="5">
        <v>5050470.66</v>
      </c>
      <c r="M200" t="s">
        <v>136</v>
      </c>
      <c r="N200" t="s">
        <v>21</v>
      </c>
      <c r="O200" s="6">
        <v>102</v>
      </c>
    </row>
    <row r="201" spans="1:15" x14ac:dyDescent="0.3">
      <c r="B201" t="s">
        <v>24</v>
      </c>
      <c r="C201">
        <v>200077</v>
      </c>
      <c r="D201" t="str">
        <f>VLOOKUP(C201,'[1]CLIENTES '!C:D,2,FALSE)</f>
        <v>CORPORATIVO INTERNACIONAL MEXICANO</v>
      </c>
      <c r="E201" t="s">
        <v>24</v>
      </c>
      <c r="F201" s="4"/>
      <c r="G201" s="4"/>
      <c r="H201" s="5">
        <v>4523856.8</v>
      </c>
      <c r="I201" t="s">
        <v>24</v>
      </c>
      <c r="K201" t="s">
        <v>24</v>
      </c>
      <c r="L201" s="5">
        <v>4523856.8</v>
      </c>
      <c r="M201" t="s">
        <v>24</v>
      </c>
      <c r="N201" t="s">
        <v>24</v>
      </c>
      <c r="O201" s="6"/>
    </row>
    <row r="202" spans="1:15" x14ac:dyDescent="0.3">
      <c r="A202" s="3">
        <v>1400019000</v>
      </c>
      <c r="B202" t="s">
        <v>130</v>
      </c>
      <c r="C202">
        <v>200093</v>
      </c>
      <c r="D202" t="str">
        <f>VLOOKUP(C202,'[1]CLIENTES '!C:D,2,FALSE)</f>
        <v>SABRITAS</v>
      </c>
      <c r="E202" t="s">
        <v>14</v>
      </c>
      <c r="F202" s="4">
        <v>45884</v>
      </c>
      <c r="G202" s="4">
        <v>45884</v>
      </c>
      <c r="H202" s="5">
        <v>-1425623</v>
      </c>
      <c r="I202" t="s">
        <v>127</v>
      </c>
      <c r="J202">
        <v>1400019000</v>
      </c>
      <c r="K202" t="s">
        <v>127</v>
      </c>
      <c r="L202" s="5">
        <v>-1425623</v>
      </c>
      <c r="M202" t="s">
        <v>26</v>
      </c>
      <c r="N202" t="s">
        <v>27</v>
      </c>
      <c r="O202" s="6">
        <v>17</v>
      </c>
    </row>
    <row r="203" spans="1:15" x14ac:dyDescent="0.3">
      <c r="A203" s="3">
        <v>1400018500</v>
      </c>
      <c r="B203" t="s">
        <v>130</v>
      </c>
      <c r="C203">
        <v>200093</v>
      </c>
      <c r="D203" t="str">
        <f>VLOOKUP(C203,'[1]CLIENTES '!C:D,2,FALSE)</f>
        <v>SABRITAS</v>
      </c>
      <c r="E203" t="s">
        <v>14</v>
      </c>
      <c r="F203" s="4">
        <v>45884</v>
      </c>
      <c r="G203" s="4">
        <v>45884</v>
      </c>
      <c r="H203" s="5">
        <v>-1208424</v>
      </c>
      <c r="I203" t="s">
        <v>126</v>
      </c>
      <c r="J203">
        <v>1400018500</v>
      </c>
      <c r="K203" t="s">
        <v>126</v>
      </c>
      <c r="L203" s="5">
        <v>-1208424</v>
      </c>
      <c r="M203" t="s">
        <v>26</v>
      </c>
      <c r="N203" t="s">
        <v>27</v>
      </c>
      <c r="O203" s="6">
        <v>17</v>
      </c>
    </row>
    <row r="204" spans="1:15" x14ac:dyDescent="0.3">
      <c r="A204" s="3">
        <v>1400017500</v>
      </c>
      <c r="B204" t="s">
        <v>130</v>
      </c>
      <c r="C204">
        <v>200093</v>
      </c>
      <c r="D204" t="str">
        <f>VLOOKUP(C204,'[1]CLIENTES '!C:D,2,FALSE)</f>
        <v>SABRITAS</v>
      </c>
      <c r="E204" t="s">
        <v>14</v>
      </c>
      <c r="F204" s="4">
        <v>45884</v>
      </c>
      <c r="G204" s="4">
        <v>45884</v>
      </c>
      <c r="H204" s="5">
        <v>-575445</v>
      </c>
      <c r="I204" t="s">
        <v>125</v>
      </c>
      <c r="J204">
        <v>1400017500</v>
      </c>
      <c r="K204" t="s">
        <v>125</v>
      </c>
      <c r="L204" s="5">
        <v>-575445</v>
      </c>
      <c r="M204" t="s">
        <v>26</v>
      </c>
      <c r="N204" t="s">
        <v>27</v>
      </c>
      <c r="O204" s="6">
        <v>17</v>
      </c>
    </row>
    <row r="205" spans="1:15" x14ac:dyDescent="0.3">
      <c r="A205" s="3">
        <v>1400018000</v>
      </c>
      <c r="B205" t="s">
        <v>130</v>
      </c>
      <c r="C205">
        <v>200093</v>
      </c>
      <c r="D205" t="str">
        <f>VLOOKUP(C205,'[1]CLIENTES '!C:D,2,FALSE)</f>
        <v>SABRITAS</v>
      </c>
      <c r="E205" t="s">
        <v>14</v>
      </c>
      <c r="F205" s="4">
        <v>45884</v>
      </c>
      <c r="G205" s="4">
        <v>45884</v>
      </c>
      <c r="H205" s="5">
        <v>-427547</v>
      </c>
      <c r="I205" t="s">
        <v>124</v>
      </c>
      <c r="J205">
        <v>1400018000</v>
      </c>
      <c r="K205" t="s">
        <v>124</v>
      </c>
      <c r="L205" s="5">
        <v>-427547</v>
      </c>
      <c r="M205" t="s">
        <v>26</v>
      </c>
      <c r="N205" t="s">
        <v>27</v>
      </c>
      <c r="O205" s="6">
        <v>17</v>
      </c>
    </row>
    <row r="206" spans="1:15" x14ac:dyDescent="0.3">
      <c r="A206" s="3">
        <v>100145001</v>
      </c>
      <c r="B206" t="s">
        <v>130</v>
      </c>
      <c r="C206">
        <v>200093</v>
      </c>
      <c r="D206" t="str">
        <f>VLOOKUP(C206,'[1]CLIENTES '!C:D,2,FALSE)</f>
        <v>SABRITAS</v>
      </c>
      <c r="E206" t="s">
        <v>14</v>
      </c>
      <c r="F206" s="4">
        <v>45884</v>
      </c>
      <c r="G206" s="4">
        <v>45884</v>
      </c>
      <c r="H206" s="5">
        <v>0</v>
      </c>
      <c r="I206" t="s">
        <v>24</v>
      </c>
      <c r="J206">
        <v>100145001</v>
      </c>
      <c r="K206" t="s">
        <v>24</v>
      </c>
      <c r="L206" s="5">
        <v>0</v>
      </c>
      <c r="M206" t="s">
        <v>24</v>
      </c>
      <c r="N206" t="s">
        <v>31</v>
      </c>
      <c r="O206" s="6">
        <v>0</v>
      </c>
    </row>
    <row r="207" spans="1:15" x14ac:dyDescent="0.3">
      <c r="A207" s="3">
        <v>100145500</v>
      </c>
      <c r="B207" t="s">
        <v>130</v>
      </c>
      <c r="C207">
        <v>200093</v>
      </c>
      <c r="D207" t="str">
        <f>VLOOKUP(C207,'[1]CLIENTES '!C:D,2,FALSE)</f>
        <v>SABRITAS</v>
      </c>
      <c r="E207" t="s">
        <v>14</v>
      </c>
      <c r="F207" s="4">
        <v>45884</v>
      </c>
      <c r="G207" s="4">
        <v>45884</v>
      </c>
      <c r="H207" s="5">
        <v>0</v>
      </c>
      <c r="I207" t="s">
        <v>24</v>
      </c>
      <c r="J207">
        <v>100145500</v>
      </c>
      <c r="K207" t="s">
        <v>24</v>
      </c>
      <c r="L207" s="5">
        <v>0</v>
      </c>
      <c r="M207" t="s">
        <v>24</v>
      </c>
      <c r="N207" t="s">
        <v>31</v>
      </c>
      <c r="O207" s="6">
        <v>0</v>
      </c>
    </row>
    <row r="208" spans="1:15" x14ac:dyDescent="0.3">
      <c r="A208" s="3">
        <v>100033501</v>
      </c>
      <c r="B208" t="s">
        <v>130</v>
      </c>
      <c r="C208">
        <v>200093</v>
      </c>
      <c r="D208" t="str">
        <f>VLOOKUP(C208,'[1]CLIENTES '!C:D,2,FALSE)</f>
        <v>SABRITAS</v>
      </c>
      <c r="E208" t="s">
        <v>14</v>
      </c>
      <c r="F208" s="4">
        <v>45884</v>
      </c>
      <c r="G208" s="4">
        <v>45884</v>
      </c>
      <c r="H208" s="5">
        <v>0</v>
      </c>
      <c r="I208" t="s">
        <v>24</v>
      </c>
      <c r="J208">
        <v>100033501</v>
      </c>
      <c r="K208" t="s">
        <v>24</v>
      </c>
      <c r="L208" s="5">
        <v>0</v>
      </c>
      <c r="M208" t="s">
        <v>24</v>
      </c>
      <c r="N208" t="s">
        <v>31</v>
      </c>
      <c r="O208" s="6">
        <v>0</v>
      </c>
    </row>
    <row r="209" spans="1:15" x14ac:dyDescent="0.3">
      <c r="A209" s="3">
        <v>100145000</v>
      </c>
      <c r="B209" t="s">
        <v>130</v>
      </c>
      <c r="C209">
        <v>200093</v>
      </c>
      <c r="D209" t="str">
        <f>VLOOKUP(C209,'[1]CLIENTES '!C:D,2,FALSE)</f>
        <v>SABRITAS</v>
      </c>
      <c r="E209" t="s">
        <v>14</v>
      </c>
      <c r="F209" s="4">
        <v>45884</v>
      </c>
      <c r="G209" s="4">
        <v>45884</v>
      </c>
      <c r="H209" s="5">
        <v>0</v>
      </c>
      <c r="I209" t="s">
        <v>24</v>
      </c>
      <c r="J209">
        <v>100145000</v>
      </c>
      <c r="K209" t="s">
        <v>24</v>
      </c>
      <c r="L209" s="5">
        <v>0</v>
      </c>
      <c r="M209" t="s">
        <v>24</v>
      </c>
      <c r="N209" t="s">
        <v>31</v>
      </c>
      <c r="O209" s="6">
        <v>0</v>
      </c>
    </row>
    <row r="210" spans="1:15" x14ac:dyDescent="0.3">
      <c r="A210" s="3">
        <v>1800030001</v>
      </c>
      <c r="B210" t="s">
        <v>130</v>
      </c>
      <c r="C210">
        <v>200093</v>
      </c>
      <c r="D210" t="str">
        <f>VLOOKUP(C210,'[1]CLIENTES '!C:D,2,FALSE)</f>
        <v>SABRITAS</v>
      </c>
      <c r="E210" t="s">
        <v>14</v>
      </c>
      <c r="F210" s="4">
        <v>45895</v>
      </c>
      <c r="G210" s="4">
        <v>45895</v>
      </c>
      <c r="H210" s="5">
        <v>427547</v>
      </c>
      <c r="I210" t="s">
        <v>137</v>
      </c>
      <c r="J210">
        <v>1800030001</v>
      </c>
      <c r="K210" t="s">
        <v>137</v>
      </c>
      <c r="L210" s="5">
        <v>427547</v>
      </c>
      <c r="M210" t="s">
        <v>33</v>
      </c>
      <c r="N210" t="s">
        <v>21</v>
      </c>
      <c r="O210" s="6">
        <v>20</v>
      </c>
    </row>
    <row r="211" spans="1:15" x14ac:dyDescent="0.3">
      <c r="A211" s="3">
        <v>1800030000</v>
      </c>
      <c r="B211" t="s">
        <v>130</v>
      </c>
      <c r="C211">
        <v>200093</v>
      </c>
      <c r="D211" t="str">
        <f>VLOOKUP(C211,'[1]CLIENTES '!C:D,2,FALSE)</f>
        <v>SABRITAS</v>
      </c>
      <c r="E211" t="s">
        <v>14</v>
      </c>
      <c r="F211" s="4">
        <v>45895</v>
      </c>
      <c r="G211" s="4">
        <v>45895</v>
      </c>
      <c r="H211" s="5">
        <v>575445</v>
      </c>
      <c r="I211" t="s">
        <v>138</v>
      </c>
      <c r="J211">
        <v>1800030000</v>
      </c>
      <c r="K211" t="s">
        <v>138</v>
      </c>
      <c r="L211" s="5">
        <v>575445</v>
      </c>
      <c r="M211" t="s">
        <v>35</v>
      </c>
      <c r="N211" t="s">
        <v>21</v>
      </c>
      <c r="O211" s="6">
        <v>20</v>
      </c>
    </row>
    <row r="212" spans="1:15" x14ac:dyDescent="0.3">
      <c r="A212" s="3">
        <v>1800030002</v>
      </c>
      <c r="B212" t="s">
        <v>130</v>
      </c>
      <c r="C212">
        <v>200093</v>
      </c>
      <c r="D212" t="str">
        <f>VLOOKUP(C212,'[1]CLIENTES '!C:D,2,FALSE)</f>
        <v>SABRITAS</v>
      </c>
      <c r="E212" t="s">
        <v>14</v>
      </c>
      <c r="F212" s="4">
        <v>45895</v>
      </c>
      <c r="G212" s="4">
        <v>45895</v>
      </c>
      <c r="H212" s="5">
        <v>1208424</v>
      </c>
      <c r="I212" t="s">
        <v>139</v>
      </c>
      <c r="J212">
        <v>1800030002</v>
      </c>
      <c r="K212" t="s">
        <v>139</v>
      </c>
      <c r="L212" s="5">
        <v>1208424</v>
      </c>
      <c r="M212" t="s">
        <v>37</v>
      </c>
      <c r="N212" t="s">
        <v>21</v>
      </c>
      <c r="O212" s="6">
        <v>20</v>
      </c>
    </row>
    <row r="213" spans="1:15" x14ac:dyDescent="0.3">
      <c r="A213" s="3">
        <v>1800031000</v>
      </c>
      <c r="B213" t="s">
        <v>130</v>
      </c>
      <c r="C213">
        <v>200093</v>
      </c>
      <c r="D213" t="str">
        <f>VLOOKUP(C213,'[1]CLIENTES '!C:D,2,FALSE)</f>
        <v>SABRITAS</v>
      </c>
      <c r="E213" t="s">
        <v>14</v>
      </c>
      <c r="F213" s="4">
        <v>45895</v>
      </c>
      <c r="G213" s="4">
        <v>45895</v>
      </c>
      <c r="H213" s="5">
        <v>1425623</v>
      </c>
      <c r="I213" t="s">
        <v>140</v>
      </c>
      <c r="J213">
        <v>1800031000</v>
      </c>
      <c r="K213" t="s">
        <v>140</v>
      </c>
      <c r="L213" s="5">
        <v>1425623</v>
      </c>
      <c r="M213" t="s">
        <v>39</v>
      </c>
      <c r="N213" t="s">
        <v>21</v>
      </c>
      <c r="O213" s="6">
        <v>20</v>
      </c>
    </row>
    <row r="214" spans="1:15" x14ac:dyDescent="0.3">
      <c r="B214" t="s">
        <v>24</v>
      </c>
      <c r="C214">
        <v>200093</v>
      </c>
      <c r="D214" t="str">
        <f>VLOOKUP(C214,'[1]CLIENTES '!C:D,2,FALSE)</f>
        <v>SABRITAS</v>
      </c>
      <c r="E214" t="s">
        <v>24</v>
      </c>
      <c r="F214" s="4"/>
      <c r="G214" s="4"/>
      <c r="H214" s="5">
        <v>0</v>
      </c>
      <c r="I214" t="s">
        <v>24</v>
      </c>
      <c r="K214" t="s">
        <v>24</v>
      </c>
      <c r="L214" s="5">
        <v>0</v>
      </c>
      <c r="M214" t="s">
        <v>24</v>
      </c>
      <c r="N214" t="s">
        <v>24</v>
      </c>
      <c r="O214" s="6"/>
    </row>
    <row r="215" spans="1:15" x14ac:dyDescent="0.3">
      <c r="A215" s="3">
        <v>1400019500</v>
      </c>
      <c r="B215" t="s">
        <v>130</v>
      </c>
      <c r="C215">
        <v>200841</v>
      </c>
      <c r="D215" t="str">
        <f>VLOOKUP(C215,'[1]CLIENTES '!C:D,2,FALSE)</f>
        <v>COMERCIALIZADORA PEPSICO MEXICO</v>
      </c>
      <c r="E215" t="s">
        <v>14</v>
      </c>
      <c r="F215" s="4">
        <v>45884</v>
      </c>
      <c r="G215" s="4">
        <v>45884</v>
      </c>
      <c r="H215" s="5">
        <v>-663746</v>
      </c>
      <c r="I215" t="s">
        <v>128</v>
      </c>
      <c r="J215">
        <v>1400019500</v>
      </c>
      <c r="K215" t="s">
        <v>128</v>
      </c>
      <c r="L215" s="5">
        <v>-663746</v>
      </c>
      <c r="M215" t="s">
        <v>26</v>
      </c>
      <c r="N215" t="s">
        <v>27</v>
      </c>
      <c r="O215" s="6">
        <v>17</v>
      </c>
    </row>
    <row r="216" spans="1:15" x14ac:dyDescent="0.3">
      <c r="A216" s="3">
        <v>100135001</v>
      </c>
      <c r="B216" t="s">
        <v>130</v>
      </c>
      <c r="C216">
        <v>200841</v>
      </c>
      <c r="D216" t="str">
        <f>VLOOKUP(C216,'[1]CLIENTES '!C:D,2,FALSE)</f>
        <v>COMERCIALIZADORA PEPSICO MEXICO</v>
      </c>
      <c r="E216" t="s">
        <v>14</v>
      </c>
      <c r="F216" s="4">
        <v>45884</v>
      </c>
      <c r="G216" s="4">
        <v>45884</v>
      </c>
      <c r="H216" s="5">
        <v>0</v>
      </c>
      <c r="I216" t="s">
        <v>24</v>
      </c>
      <c r="J216">
        <v>100135001</v>
      </c>
      <c r="K216" t="s">
        <v>24</v>
      </c>
      <c r="L216" s="5">
        <v>0</v>
      </c>
      <c r="M216" t="s">
        <v>24</v>
      </c>
      <c r="N216" t="s">
        <v>31</v>
      </c>
      <c r="O216" s="6">
        <v>0</v>
      </c>
    </row>
    <row r="217" spans="1:15" x14ac:dyDescent="0.3">
      <c r="A217" s="3">
        <v>1800030500</v>
      </c>
      <c r="B217" t="s">
        <v>130</v>
      </c>
      <c r="C217">
        <v>200841</v>
      </c>
      <c r="D217" t="str">
        <f>VLOOKUP(C217,'[1]CLIENTES '!C:D,2,FALSE)</f>
        <v>COMERCIALIZADORA PEPSICO MEXICO</v>
      </c>
      <c r="E217" t="s">
        <v>14</v>
      </c>
      <c r="F217" s="4">
        <v>45895</v>
      </c>
      <c r="G217" s="4">
        <v>45895</v>
      </c>
      <c r="H217" s="5">
        <v>691689</v>
      </c>
      <c r="I217" t="s">
        <v>141</v>
      </c>
      <c r="J217">
        <v>1800030500</v>
      </c>
      <c r="K217" t="s">
        <v>141</v>
      </c>
      <c r="L217" s="5">
        <v>691689</v>
      </c>
      <c r="M217" t="s">
        <v>42</v>
      </c>
      <c r="N217" t="s">
        <v>21</v>
      </c>
      <c r="O217" s="6">
        <v>20</v>
      </c>
    </row>
    <row r="218" spans="1:15" x14ac:dyDescent="0.3">
      <c r="B218" t="s">
        <v>24</v>
      </c>
      <c r="C218">
        <v>200841</v>
      </c>
      <c r="D218" t="str">
        <f>VLOOKUP(C218,'[1]CLIENTES '!C:D,2,FALSE)</f>
        <v>COMERCIALIZADORA PEPSICO MEXICO</v>
      </c>
      <c r="E218" t="s">
        <v>24</v>
      </c>
      <c r="F218" s="4"/>
      <c r="G218" s="4"/>
      <c r="H218" s="5">
        <v>27943</v>
      </c>
      <c r="I218" t="s">
        <v>24</v>
      </c>
      <c r="K218" t="s">
        <v>24</v>
      </c>
      <c r="L218" s="5">
        <v>27943</v>
      </c>
      <c r="M218" t="s">
        <v>24</v>
      </c>
      <c r="N218" t="s">
        <v>24</v>
      </c>
      <c r="O218" s="6"/>
    </row>
    <row r="219" spans="1:15" x14ac:dyDescent="0.3">
      <c r="A219" s="3">
        <v>1800031500</v>
      </c>
      <c r="B219" t="s">
        <v>130</v>
      </c>
      <c r="C219">
        <v>201271</v>
      </c>
      <c r="D219" t="str">
        <f>VLOOKUP(C219,'[1]CLIENTES '!C:D,2,FALSE)</f>
        <v>PEPSICO STRAUSS FRESH DIPS &amp;</v>
      </c>
      <c r="E219" t="s">
        <v>14</v>
      </c>
      <c r="F219" s="4">
        <v>45896</v>
      </c>
      <c r="G219" s="4">
        <v>45896</v>
      </c>
      <c r="H219" s="5">
        <v>224328</v>
      </c>
      <c r="I219" t="s">
        <v>142</v>
      </c>
      <c r="J219">
        <v>1800031500</v>
      </c>
      <c r="K219" t="s">
        <v>142</v>
      </c>
      <c r="L219" s="5">
        <v>224328</v>
      </c>
      <c r="M219" t="s">
        <v>69</v>
      </c>
      <c r="N219" t="s">
        <v>21</v>
      </c>
      <c r="O219" s="6">
        <v>63</v>
      </c>
    </row>
    <row r="220" spans="1:15" x14ac:dyDescent="0.3">
      <c r="B220" t="s">
        <v>24</v>
      </c>
      <c r="C220">
        <v>201271</v>
      </c>
      <c r="D220" t="str">
        <f>VLOOKUP(C220,'[1]CLIENTES '!C:D,2,FALSE)</f>
        <v>PEPSICO STRAUSS FRESH DIPS &amp;</v>
      </c>
      <c r="E220" t="s">
        <v>24</v>
      </c>
      <c r="F220" s="4"/>
      <c r="G220" s="4"/>
      <c r="H220" s="5">
        <v>224328</v>
      </c>
      <c r="I220" t="s">
        <v>24</v>
      </c>
      <c r="K220" t="s">
        <v>24</v>
      </c>
      <c r="L220" s="5">
        <v>224328</v>
      </c>
      <c r="M220" t="s">
        <v>24</v>
      </c>
      <c r="N220" t="s">
        <v>24</v>
      </c>
      <c r="O220" s="6"/>
    </row>
    <row r="221" spans="1:15" x14ac:dyDescent="0.3">
      <c r="A221" s="3">
        <v>1800036500</v>
      </c>
      <c r="B221" t="s">
        <v>143</v>
      </c>
      <c r="C221">
        <v>200077</v>
      </c>
      <c r="D221" t="str">
        <f>VLOOKUP(C221,'[1]CLIENTES '!C:D,2,FALSE)</f>
        <v>CORPORATIVO INTERNACIONAL MEXICANO</v>
      </c>
      <c r="E221" t="s">
        <v>14</v>
      </c>
      <c r="F221" s="4">
        <v>45930</v>
      </c>
      <c r="G221" s="4">
        <v>45930</v>
      </c>
      <c r="H221" s="5">
        <v>-3262284.41</v>
      </c>
      <c r="I221" t="s">
        <v>144</v>
      </c>
      <c r="J221">
        <v>1800036500</v>
      </c>
      <c r="K221" t="s">
        <v>144</v>
      </c>
      <c r="L221" s="5">
        <v>-3262284.41</v>
      </c>
      <c r="M221" t="s">
        <v>136</v>
      </c>
      <c r="N221" t="s">
        <v>21</v>
      </c>
      <c r="O221" s="6">
        <v>0</v>
      </c>
    </row>
    <row r="222" spans="1:15" x14ac:dyDescent="0.3">
      <c r="A222" s="3">
        <v>1600013000</v>
      </c>
      <c r="B222" t="s">
        <v>143</v>
      </c>
      <c r="C222">
        <v>200077</v>
      </c>
      <c r="D222" t="str">
        <f>VLOOKUP(C222,'[1]CLIENTES '!C:D,2,FALSE)</f>
        <v>CORPORATIVO INTERNACIONAL MEXICANO</v>
      </c>
      <c r="E222" t="s">
        <v>14</v>
      </c>
      <c r="F222" s="4">
        <v>45930</v>
      </c>
      <c r="G222" s="4">
        <v>45930</v>
      </c>
      <c r="H222" s="5">
        <v>-1969357.6</v>
      </c>
      <c r="I222" t="s">
        <v>145</v>
      </c>
      <c r="J222">
        <v>1600013000</v>
      </c>
      <c r="K222" t="s">
        <v>145</v>
      </c>
      <c r="L222" s="5">
        <v>-1969357.6</v>
      </c>
      <c r="M222" t="s">
        <v>146</v>
      </c>
      <c r="N222" t="s">
        <v>17</v>
      </c>
      <c r="O222" s="6">
        <v>0</v>
      </c>
    </row>
    <row r="223" spans="1:15" x14ac:dyDescent="0.3">
      <c r="A223" s="3">
        <v>1600013500</v>
      </c>
      <c r="B223" t="s">
        <v>143</v>
      </c>
      <c r="C223">
        <v>200077</v>
      </c>
      <c r="D223" t="str">
        <f>VLOOKUP(C223,'[1]CLIENTES '!C:D,2,FALSE)</f>
        <v>CORPORATIVO INTERNACIONAL MEXICANO</v>
      </c>
      <c r="E223" t="s">
        <v>14</v>
      </c>
      <c r="F223" s="4">
        <v>45930</v>
      </c>
      <c r="G223" s="4">
        <v>45930</v>
      </c>
      <c r="H223" s="5">
        <v>1969357.6</v>
      </c>
      <c r="I223" t="s">
        <v>145</v>
      </c>
      <c r="J223">
        <v>1600013500</v>
      </c>
      <c r="K223" t="s">
        <v>145</v>
      </c>
      <c r="L223" s="5">
        <v>1969357.6</v>
      </c>
      <c r="M223" t="s">
        <v>146</v>
      </c>
      <c r="N223" t="s">
        <v>18</v>
      </c>
      <c r="O223" s="6">
        <v>0</v>
      </c>
    </row>
    <row r="224" spans="1:15" x14ac:dyDescent="0.3">
      <c r="A224" s="3">
        <v>1800036000</v>
      </c>
      <c r="B224" t="s">
        <v>143</v>
      </c>
      <c r="C224">
        <v>200077</v>
      </c>
      <c r="D224" t="str">
        <f>VLOOKUP(C224,'[1]CLIENTES '!C:D,2,FALSE)</f>
        <v>CORPORATIVO INTERNACIONAL MEXICANO</v>
      </c>
      <c r="E224" t="s">
        <v>14</v>
      </c>
      <c r="F224" s="4">
        <v>45930</v>
      </c>
      <c r="G224" s="4">
        <v>45930</v>
      </c>
      <c r="H224" s="5">
        <v>3262284.41</v>
      </c>
      <c r="I224" t="s">
        <v>144</v>
      </c>
      <c r="J224">
        <v>1800036000</v>
      </c>
      <c r="K224" t="s">
        <v>144</v>
      </c>
      <c r="L224" s="5">
        <v>3262284.41</v>
      </c>
      <c r="M224" t="s">
        <v>136</v>
      </c>
      <c r="N224" t="s">
        <v>21</v>
      </c>
      <c r="O224" s="6">
        <v>0</v>
      </c>
    </row>
    <row r="225" spans="1:15" x14ac:dyDescent="0.3">
      <c r="A225" s="3">
        <v>1600014000</v>
      </c>
      <c r="B225" t="s">
        <v>143</v>
      </c>
      <c r="C225">
        <v>200077</v>
      </c>
      <c r="D225" t="str">
        <f>VLOOKUP(C225,'[1]CLIENTES '!C:D,2,FALSE)</f>
        <v>CORPORATIVO INTERNACIONAL MEXICANO</v>
      </c>
      <c r="E225" t="s">
        <v>14</v>
      </c>
      <c r="F225" s="4">
        <v>45930</v>
      </c>
      <c r="G225" s="4">
        <v>45930</v>
      </c>
      <c r="H225" s="5">
        <v>-3262284.41</v>
      </c>
      <c r="I225" t="s">
        <v>145</v>
      </c>
      <c r="J225">
        <v>1600014000</v>
      </c>
      <c r="K225" t="s">
        <v>145</v>
      </c>
      <c r="L225" s="5">
        <v>-3262284.41</v>
      </c>
      <c r="M225" t="s">
        <v>146</v>
      </c>
      <c r="N225" t="s">
        <v>17</v>
      </c>
      <c r="O225" s="6">
        <v>72</v>
      </c>
    </row>
    <row r="226" spans="1:15" x14ac:dyDescent="0.3">
      <c r="A226" s="3">
        <v>1800035500</v>
      </c>
      <c r="B226" t="s">
        <v>143</v>
      </c>
      <c r="C226">
        <v>200077</v>
      </c>
      <c r="D226" t="str">
        <f>VLOOKUP(C226,'[1]CLIENTES '!C:D,2,FALSE)</f>
        <v>CORPORATIVO INTERNACIONAL MEXICANO</v>
      </c>
      <c r="E226" t="s">
        <v>14</v>
      </c>
      <c r="F226" s="4">
        <v>45930</v>
      </c>
      <c r="G226" s="4">
        <v>45930</v>
      </c>
      <c r="H226" s="5">
        <v>2432926.81</v>
      </c>
      <c r="I226" t="s">
        <v>147</v>
      </c>
      <c r="J226">
        <v>1800035500</v>
      </c>
      <c r="K226" t="s">
        <v>147</v>
      </c>
      <c r="L226" s="5">
        <v>2432926.81</v>
      </c>
      <c r="M226" t="s">
        <v>148</v>
      </c>
      <c r="N226" t="s">
        <v>21</v>
      </c>
      <c r="O226" s="6">
        <v>72</v>
      </c>
    </row>
    <row r="227" spans="1:15" x14ac:dyDescent="0.3">
      <c r="A227" s="3">
        <v>1800037000</v>
      </c>
      <c r="B227" t="s">
        <v>143</v>
      </c>
      <c r="C227">
        <v>200077</v>
      </c>
      <c r="D227" t="str">
        <f>VLOOKUP(C227,'[1]CLIENTES '!C:D,2,FALSE)</f>
        <v>CORPORATIVO INTERNACIONAL MEXICANO</v>
      </c>
      <c r="E227" t="s">
        <v>14</v>
      </c>
      <c r="F227" s="4">
        <v>45930</v>
      </c>
      <c r="G227" s="4">
        <v>45930</v>
      </c>
      <c r="H227" s="5">
        <v>5231642.01</v>
      </c>
      <c r="I227" t="s">
        <v>144</v>
      </c>
      <c r="J227">
        <v>1800037000</v>
      </c>
      <c r="K227" t="s">
        <v>144</v>
      </c>
      <c r="L227" s="5">
        <v>5231642.01</v>
      </c>
      <c r="M227" t="s">
        <v>149</v>
      </c>
      <c r="N227" t="s">
        <v>21</v>
      </c>
      <c r="O227" s="6">
        <v>72</v>
      </c>
    </row>
    <row r="228" spans="1:15" x14ac:dyDescent="0.3">
      <c r="B228" t="s">
        <v>24</v>
      </c>
      <c r="C228">
        <v>200077</v>
      </c>
      <c r="D228" t="str">
        <f>VLOOKUP(C228,'[1]CLIENTES '!C:D,2,FALSE)</f>
        <v>CORPORATIVO INTERNACIONAL MEXICANO</v>
      </c>
      <c r="E228" t="s">
        <v>24</v>
      </c>
      <c r="F228" s="4"/>
      <c r="G228" s="4"/>
      <c r="H228" s="5">
        <v>4402284.41</v>
      </c>
      <c r="I228" t="s">
        <v>24</v>
      </c>
      <c r="K228" t="s">
        <v>24</v>
      </c>
      <c r="L228" s="5">
        <v>4402284.41</v>
      </c>
      <c r="M228" t="s">
        <v>24</v>
      </c>
      <c r="N228" t="s">
        <v>24</v>
      </c>
      <c r="O228" s="6"/>
    </row>
    <row r="229" spans="1:15" x14ac:dyDescent="0.3">
      <c r="A229" s="3">
        <v>1400021500</v>
      </c>
      <c r="B229" t="s">
        <v>143</v>
      </c>
      <c r="C229">
        <v>200093</v>
      </c>
      <c r="D229" t="str">
        <f>VLOOKUP(C229,'[1]CLIENTES '!C:D,2,FALSE)</f>
        <v>SABRITAS</v>
      </c>
      <c r="E229" t="s">
        <v>14</v>
      </c>
      <c r="F229" s="4">
        <v>45915</v>
      </c>
      <c r="G229" s="4">
        <v>45915</v>
      </c>
      <c r="H229" s="5">
        <v>-1425623</v>
      </c>
      <c r="I229" t="s">
        <v>140</v>
      </c>
      <c r="J229">
        <v>1400021500</v>
      </c>
      <c r="K229" t="s">
        <v>140</v>
      </c>
      <c r="L229" s="5">
        <v>-1425623</v>
      </c>
      <c r="M229" t="s">
        <v>26</v>
      </c>
      <c r="N229" t="s">
        <v>27</v>
      </c>
      <c r="O229" s="6">
        <v>20</v>
      </c>
    </row>
    <row r="230" spans="1:15" x14ac:dyDescent="0.3">
      <c r="A230" s="3">
        <v>1400021001</v>
      </c>
      <c r="B230" t="s">
        <v>143</v>
      </c>
      <c r="C230">
        <v>200093</v>
      </c>
      <c r="D230" t="str">
        <f>VLOOKUP(C230,'[1]CLIENTES '!C:D,2,FALSE)</f>
        <v>SABRITAS</v>
      </c>
      <c r="E230" t="s">
        <v>14</v>
      </c>
      <c r="F230" s="4">
        <v>45915</v>
      </c>
      <c r="G230" s="4">
        <v>45915</v>
      </c>
      <c r="H230" s="5">
        <v>-1208424</v>
      </c>
      <c r="I230" t="s">
        <v>139</v>
      </c>
      <c r="J230">
        <v>1400021001</v>
      </c>
      <c r="K230" t="s">
        <v>139</v>
      </c>
      <c r="L230" s="5">
        <v>-1208424</v>
      </c>
      <c r="M230" t="s">
        <v>26</v>
      </c>
      <c r="N230" t="s">
        <v>27</v>
      </c>
      <c r="O230" s="6">
        <v>20</v>
      </c>
    </row>
    <row r="231" spans="1:15" x14ac:dyDescent="0.3">
      <c r="A231" s="3">
        <v>1400020500</v>
      </c>
      <c r="B231" t="s">
        <v>143</v>
      </c>
      <c r="C231">
        <v>200093</v>
      </c>
      <c r="D231" t="str">
        <f>VLOOKUP(C231,'[1]CLIENTES '!C:D,2,FALSE)</f>
        <v>SABRITAS</v>
      </c>
      <c r="E231" t="s">
        <v>14</v>
      </c>
      <c r="F231" s="4">
        <v>45915</v>
      </c>
      <c r="G231" s="4">
        <v>45915</v>
      </c>
      <c r="H231" s="5">
        <v>-575445</v>
      </c>
      <c r="I231" t="s">
        <v>138</v>
      </c>
      <c r="J231">
        <v>1400020500</v>
      </c>
      <c r="K231" t="s">
        <v>138</v>
      </c>
      <c r="L231" s="5">
        <v>-575445</v>
      </c>
      <c r="M231" t="s">
        <v>26</v>
      </c>
      <c r="N231" t="s">
        <v>27</v>
      </c>
      <c r="O231" s="6">
        <v>20</v>
      </c>
    </row>
    <row r="232" spans="1:15" x14ac:dyDescent="0.3">
      <c r="A232" s="3">
        <v>1400021000</v>
      </c>
      <c r="B232" t="s">
        <v>143</v>
      </c>
      <c r="C232">
        <v>200093</v>
      </c>
      <c r="D232" t="str">
        <f>VLOOKUP(C232,'[1]CLIENTES '!C:D,2,FALSE)</f>
        <v>SABRITAS</v>
      </c>
      <c r="E232" t="s">
        <v>14</v>
      </c>
      <c r="F232" s="4">
        <v>45915</v>
      </c>
      <c r="G232" s="4">
        <v>45915</v>
      </c>
      <c r="H232" s="5">
        <v>-427547</v>
      </c>
      <c r="I232" t="s">
        <v>137</v>
      </c>
      <c r="J232">
        <v>1400021000</v>
      </c>
      <c r="K232" t="s">
        <v>137</v>
      </c>
      <c r="L232" s="5">
        <v>-427547</v>
      </c>
      <c r="M232" t="s">
        <v>26</v>
      </c>
      <c r="N232" t="s">
        <v>27</v>
      </c>
      <c r="O232" s="6">
        <v>20</v>
      </c>
    </row>
    <row r="233" spans="1:15" x14ac:dyDescent="0.3">
      <c r="A233" s="3">
        <v>100159000</v>
      </c>
      <c r="B233" t="s">
        <v>143</v>
      </c>
      <c r="C233">
        <v>200093</v>
      </c>
      <c r="D233" t="str">
        <f>VLOOKUP(C233,'[1]CLIENTES '!C:D,2,FALSE)</f>
        <v>SABRITAS</v>
      </c>
      <c r="E233" t="s">
        <v>14</v>
      </c>
      <c r="F233" s="4">
        <v>45915</v>
      </c>
      <c r="G233" s="4">
        <v>45915</v>
      </c>
      <c r="H233" s="5">
        <v>0</v>
      </c>
      <c r="I233" t="s">
        <v>24</v>
      </c>
      <c r="J233">
        <v>100159000</v>
      </c>
      <c r="K233" t="s">
        <v>24</v>
      </c>
      <c r="L233" s="5">
        <v>0</v>
      </c>
      <c r="M233" t="s">
        <v>24</v>
      </c>
      <c r="N233" t="s">
        <v>31</v>
      </c>
      <c r="O233" s="6">
        <v>0</v>
      </c>
    </row>
    <row r="234" spans="1:15" x14ac:dyDescent="0.3">
      <c r="A234" s="3">
        <v>100158500</v>
      </c>
      <c r="B234" t="s">
        <v>143</v>
      </c>
      <c r="C234">
        <v>200093</v>
      </c>
      <c r="D234" t="str">
        <f>VLOOKUP(C234,'[1]CLIENTES '!C:D,2,FALSE)</f>
        <v>SABRITAS</v>
      </c>
      <c r="E234" t="s">
        <v>14</v>
      </c>
      <c r="F234" s="4">
        <v>45915</v>
      </c>
      <c r="G234" s="4">
        <v>45915</v>
      </c>
      <c r="H234" s="5">
        <v>0</v>
      </c>
      <c r="I234" t="s">
        <v>24</v>
      </c>
      <c r="J234">
        <v>100158500</v>
      </c>
      <c r="K234" t="s">
        <v>24</v>
      </c>
      <c r="L234" s="5">
        <v>0</v>
      </c>
      <c r="M234" t="s">
        <v>24</v>
      </c>
      <c r="N234" t="s">
        <v>31</v>
      </c>
      <c r="O234" s="6">
        <v>0</v>
      </c>
    </row>
    <row r="235" spans="1:15" x14ac:dyDescent="0.3">
      <c r="A235" s="3">
        <v>100158001</v>
      </c>
      <c r="B235" t="s">
        <v>143</v>
      </c>
      <c r="C235">
        <v>200093</v>
      </c>
      <c r="D235" t="str">
        <f>VLOOKUP(C235,'[1]CLIENTES '!C:D,2,FALSE)</f>
        <v>SABRITAS</v>
      </c>
      <c r="E235" t="s">
        <v>14</v>
      </c>
      <c r="F235" s="4">
        <v>45915</v>
      </c>
      <c r="G235" s="4">
        <v>45915</v>
      </c>
      <c r="H235" s="5">
        <v>0</v>
      </c>
      <c r="I235" t="s">
        <v>24</v>
      </c>
      <c r="J235">
        <v>100158001</v>
      </c>
      <c r="K235" t="s">
        <v>24</v>
      </c>
      <c r="L235" s="5">
        <v>0</v>
      </c>
      <c r="M235" t="s">
        <v>24</v>
      </c>
      <c r="N235" t="s">
        <v>31</v>
      </c>
      <c r="O235" s="6">
        <v>0</v>
      </c>
    </row>
    <row r="236" spans="1:15" x14ac:dyDescent="0.3">
      <c r="A236" s="3">
        <v>100158000</v>
      </c>
      <c r="B236" t="s">
        <v>143</v>
      </c>
      <c r="C236">
        <v>200093</v>
      </c>
      <c r="D236" t="str">
        <f>VLOOKUP(C236,'[1]CLIENTES '!C:D,2,FALSE)</f>
        <v>SABRITAS</v>
      </c>
      <c r="E236" t="s">
        <v>14</v>
      </c>
      <c r="F236" s="4">
        <v>45915</v>
      </c>
      <c r="G236" s="4">
        <v>45915</v>
      </c>
      <c r="H236" s="5">
        <v>0</v>
      </c>
      <c r="I236" t="s">
        <v>24</v>
      </c>
      <c r="J236">
        <v>100158000</v>
      </c>
      <c r="K236" t="s">
        <v>24</v>
      </c>
      <c r="L236" s="5">
        <v>0</v>
      </c>
      <c r="M236" t="s">
        <v>24</v>
      </c>
      <c r="N236" t="s">
        <v>31</v>
      </c>
      <c r="O236" s="6">
        <v>0</v>
      </c>
    </row>
    <row r="237" spans="1:15" x14ac:dyDescent="0.3">
      <c r="A237" s="3">
        <v>1800033000</v>
      </c>
      <c r="B237" t="s">
        <v>143</v>
      </c>
      <c r="C237">
        <v>200093</v>
      </c>
      <c r="D237" t="str">
        <f>VLOOKUP(C237,'[1]CLIENTES '!C:D,2,FALSE)</f>
        <v>SABRITAS</v>
      </c>
      <c r="E237" t="s">
        <v>14</v>
      </c>
      <c r="F237" s="4">
        <v>45926</v>
      </c>
      <c r="G237" s="4">
        <v>45926</v>
      </c>
      <c r="H237" s="5">
        <v>427547</v>
      </c>
      <c r="I237" t="s">
        <v>150</v>
      </c>
      <c r="J237">
        <v>1800033000</v>
      </c>
      <c r="K237" t="s">
        <v>150</v>
      </c>
      <c r="L237" s="5">
        <v>427547</v>
      </c>
      <c r="M237" t="s">
        <v>33</v>
      </c>
      <c r="N237" t="s">
        <v>21</v>
      </c>
      <c r="O237" s="6">
        <v>18</v>
      </c>
    </row>
    <row r="238" spans="1:15" x14ac:dyDescent="0.3">
      <c r="A238" s="3">
        <v>1800032500</v>
      </c>
      <c r="B238" t="s">
        <v>143</v>
      </c>
      <c r="C238">
        <v>200093</v>
      </c>
      <c r="D238" t="str">
        <f>VLOOKUP(C238,'[1]CLIENTES '!C:D,2,FALSE)</f>
        <v>SABRITAS</v>
      </c>
      <c r="E238" t="s">
        <v>14</v>
      </c>
      <c r="F238" s="4">
        <v>45926</v>
      </c>
      <c r="G238" s="4">
        <v>45926</v>
      </c>
      <c r="H238" s="5">
        <v>575445</v>
      </c>
      <c r="I238" t="s">
        <v>151</v>
      </c>
      <c r="J238">
        <v>1800032500</v>
      </c>
      <c r="K238" t="s">
        <v>151</v>
      </c>
      <c r="L238" s="5">
        <v>575445</v>
      </c>
      <c r="M238" t="s">
        <v>35</v>
      </c>
      <c r="N238" t="s">
        <v>21</v>
      </c>
      <c r="O238" s="6">
        <v>18</v>
      </c>
    </row>
    <row r="239" spans="1:15" x14ac:dyDescent="0.3">
      <c r="A239" s="3">
        <v>1800033500</v>
      </c>
      <c r="B239" t="s">
        <v>143</v>
      </c>
      <c r="C239">
        <v>200093</v>
      </c>
      <c r="D239" t="str">
        <f>VLOOKUP(C239,'[1]CLIENTES '!C:D,2,FALSE)</f>
        <v>SABRITAS</v>
      </c>
      <c r="E239" t="s">
        <v>14</v>
      </c>
      <c r="F239" s="4">
        <v>45926</v>
      </c>
      <c r="G239" s="4">
        <v>45926</v>
      </c>
      <c r="H239" s="5">
        <v>1208424</v>
      </c>
      <c r="I239" t="s">
        <v>152</v>
      </c>
      <c r="J239">
        <v>1800033500</v>
      </c>
      <c r="K239" t="s">
        <v>152</v>
      </c>
      <c r="L239" s="5">
        <v>1208424</v>
      </c>
      <c r="M239" t="s">
        <v>37</v>
      </c>
      <c r="N239" t="s">
        <v>21</v>
      </c>
      <c r="O239" s="6">
        <v>18</v>
      </c>
    </row>
    <row r="240" spans="1:15" x14ac:dyDescent="0.3">
      <c r="A240" s="3">
        <v>1800034000</v>
      </c>
      <c r="B240" t="s">
        <v>143</v>
      </c>
      <c r="C240">
        <v>200093</v>
      </c>
      <c r="D240" t="str">
        <f>VLOOKUP(C240,'[1]CLIENTES '!C:D,2,FALSE)</f>
        <v>SABRITAS</v>
      </c>
      <c r="E240" t="s">
        <v>14</v>
      </c>
      <c r="F240" s="4">
        <v>45926</v>
      </c>
      <c r="G240" s="4">
        <v>45926</v>
      </c>
      <c r="H240" s="5">
        <v>1425623</v>
      </c>
      <c r="I240" t="s">
        <v>153</v>
      </c>
      <c r="J240">
        <v>1800034000</v>
      </c>
      <c r="K240" t="s">
        <v>153</v>
      </c>
      <c r="L240" s="5">
        <v>1425623</v>
      </c>
      <c r="M240" t="s">
        <v>39</v>
      </c>
      <c r="N240" t="s">
        <v>21</v>
      </c>
      <c r="O240" s="6">
        <v>18</v>
      </c>
    </row>
    <row r="241" spans="1:15" x14ac:dyDescent="0.3">
      <c r="B241" t="s">
        <v>24</v>
      </c>
      <c r="C241">
        <v>200093</v>
      </c>
      <c r="D241" t="str">
        <f>VLOOKUP(C241,'[1]CLIENTES '!C:D,2,FALSE)</f>
        <v>SABRITAS</v>
      </c>
      <c r="E241" t="s">
        <v>24</v>
      </c>
      <c r="F241" s="4"/>
      <c r="G241" s="4"/>
      <c r="H241" s="5">
        <v>0</v>
      </c>
      <c r="I241" t="s">
        <v>24</v>
      </c>
      <c r="K241" t="s">
        <v>24</v>
      </c>
      <c r="L241" s="5">
        <v>0</v>
      </c>
      <c r="M241" t="s">
        <v>24</v>
      </c>
      <c r="N241" t="s">
        <v>24</v>
      </c>
      <c r="O241" s="6"/>
    </row>
    <row r="242" spans="1:15" x14ac:dyDescent="0.3">
      <c r="A242" s="3">
        <v>1400020000</v>
      </c>
      <c r="B242" t="s">
        <v>143</v>
      </c>
      <c r="C242">
        <v>200841</v>
      </c>
      <c r="D242" t="str">
        <f>VLOOKUP(C242,'[1]CLIENTES '!C:D,2,FALSE)</f>
        <v>COMERCIALIZADORA PEPSICO MEXICO</v>
      </c>
      <c r="E242" t="s">
        <v>14</v>
      </c>
      <c r="F242" s="4">
        <v>45915</v>
      </c>
      <c r="G242" s="4">
        <v>45915</v>
      </c>
      <c r="H242" s="5">
        <v>-691689</v>
      </c>
      <c r="I242" t="s">
        <v>141</v>
      </c>
      <c r="J242">
        <v>1400020000</v>
      </c>
      <c r="K242" t="s">
        <v>141</v>
      </c>
      <c r="L242" s="5">
        <v>-691689</v>
      </c>
      <c r="M242" t="s">
        <v>26</v>
      </c>
      <c r="N242" t="s">
        <v>27</v>
      </c>
      <c r="O242" s="6">
        <v>20</v>
      </c>
    </row>
    <row r="243" spans="1:15" x14ac:dyDescent="0.3">
      <c r="A243" s="3">
        <v>100157500</v>
      </c>
      <c r="B243" t="s">
        <v>143</v>
      </c>
      <c r="C243">
        <v>200841</v>
      </c>
      <c r="D243" t="str">
        <f>VLOOKUP(C243,'[1]CLIENTES '!C:D,2,FALSE)</f>
        <v>COMERCIALIZADORA PEPSICO MEXICO</v>
      </c>
      <c r="E243" t="s">
        <v>14</v>
      </c>
      <c r="F243" s="4">
        <v>45915</v>
      </c>
      <c r="G243" s="4">
        <v>45915</v>
      </c>
      <c r="H243" s="5">
        <v>0</v>
      </c>
      <c r="I243" t="s">
        <v>24</v>
      </c>
      <c r="J243">
        <v>100157500</v>
      </c>
      <c r="K243" t="s">
        <v>24</v>
      </c>
      <c r="L243" s="5">
        <v>0</v>
      </c>
      <c r="M243" t="s">
        <v>24</v>
      </c>
      <c r="N243" t="s">
        <v>31</v>
      </c>
      <c r="O243" s="6">
        <v>0</v>
      </c>
    </row>
    <row r="244" spans="1:15" x14ac:dyDescent="0.3">
      <c r="A244" s="3">
        <v>1800035000</v>
      </c>
      <c r="B244" t="s">
        <v>143</v>
      </c>
      <c r="C244">
        <v>200841</v>
      </c>
      <c r="D244" t="str">
        <f>VLOOKUP(C244,'[1]CLIENTES '!C:D,2,FALSE)</f>
        <v>COMERCIALIZADORA PEPSICO MEXICO</v>
      </c>
      <c r="E244" t="s">
        <v>14</v>
      </c>
      <c r="F244" s="4">
        <v>45926</v>
      </c>
      <c r="G244" s="4">
        <v>45926</v>
      </c>
      <c r="H244" s="5">
        <v>691689</v>
      </c>
      <c r="I244" t="s">
        <v>154</v>
      </c>
      <c r="J244">
        <v>1800035000</v>
      </c>
      <c r="K244" t="s">
        <v>154</v>
      </c>
      <c r="L244" s="5">
        <v>691689</v>
      </c>
      <c r="M244" t="s">
        <v>42</v>
      </c>
      <c r="N244" t="s">
        <v>21</v>
      </c>
      <c r="O244" s="6">
        <v>18</v>
      </c>
    </row>
    <row r="245" spans="1:15" x14ac:dyDescent="0.3">
      <c r="B245" t="s">
        <v>24</v>
      </c>
      <c r="C245">
        <v>200841</v>
      </c>
      <c r="D245" t="str">
        <f>VLOOKUP(C245,'[1]CLIENTES '!C:D,2,FALSE)</f>
        <v>COMERCIALIZADORA PEPSICO MEXICO</v>
      </c>
      <c r="E245" t="s">
        <v>24</v>
      </c>
      <c r="F245" s="4"/>
      <c r="G245" s="4"/>
      <c r="H245" s="5">
        <v>0</v>
      </c>
      <c r="I245" t="s">
        <v>24</v>
      </c>
      <c r="K245" t="s">
        <v>24</v>
      </c>
      <c r="L245" s="5">
        <v>0</v>
      </c>
      <c r="M245" t="s">
        <v>24</v>
      </c>
      <c r="N245" t="s">
        <v>24</v>
      </c>
      <c r="O245" s="6"/>
    </row>
    <row r="246" spans="1:15" x14ac:dyDescent="0.3">
      <c r="A246" s="3">
        <v>1400022500</v>
      </c>
      <c r="B246" t="s">
        <v>143</v>
      </c>
      <c r="C246">
        <v>201271</v>
      </c>
      <c r="D246" t="str">
        <f>VLOOKUP(C246,'[1]CLIENTES '!C:D,2,FALSE)</f>
        <v>PEPSICO STRAUSS FRESH DIPS &amp;</v>
      </c>
      <c r="E246" t="s">
        <v>14</v>
      </c>
      <c r="F246" s="4">
        <v>45930</v>
      </c>
      <c r="G246" s="4">
        <v>45930</v>
      </c>
      <c r="H246" s="5">
        <v>-224328</v>
      </c>
      <c r="I246" t="s">
        <v>101</v>
      </c>
      <c r="J246">
        <v>1400022500</v>
      </c>
      <c r="K246" t="s">
        <v>101</v>
      </c>
      <c r="L246" s="5">
        <v>-224328</v>
      </c>
      <c r="M246" t="s">
        <v>26</v>
      </c>
      <c r="N246" t="s">
        <v>27</v>
      </c>
      <c r="O246" s="6">
        <v>1</v>
      </c>
    </row>
    <row r="247" spans="1:15" x14ac:dyDescent="0.3">
      <c r="A247" s="3">
        <v>1400022000</v>
      </c>
      <c r="B247" t="s">
        <v>143</v>
      </c>
      <c r="C247">
        <v>201271</v>
      </c>
      <c r="D247" t="str">
        <f>VLOOKUP(C247,'[1]CLIENTES '!C:D,2,FALSE)</f>
        <v>PEPSICO STRAUSS FRESH DIPS &amp;</v>
      </c>
      <c r="E247" t="s">
        <v>14</v>
      </c>
      <c r="F247" s="4">
        <v>45930</v>
      </c>
      <c r="G247" s="4">
        <v>45930</v>
      </c>
      <c r="H247" s="5">
        <v>-215265</v>
      </c>
      <c r="I247" t="s">
        <v>85</v>
      </c>
      <c r="J247">
        <v>1400022000</v>
      </c>
      <c r="K247" t="s">
        <v>85</v>
      </c>
      <c r="L247" s="5">
        <v>-215265</v>
      </c>
      <c r="M247" t="s">
        <v>26</v>
      </c>
      <c r="N247" t="s">
        <v>27</v>
      </c>
      <c r="O247" s="6">
        <v>1</v>
      </c>
    </row>
    <row r="248" spans="1:15" x14ac:dyDescent="0.3">
      <c r="A248" s="3">
        <v>1800034500</v>
      </c>
      <c r="B248" t="s">
        <v>143</v>
      </c>
      <c r="C248">
        <v>201271</v>
      </c>
      <c r="D248" t="str">
        <f>VLOOKUP(C248,'[1]CLIENTES '!C:D,2,FALSE)</f>
        <v>PEPSICO STRAUSS FRESH DIPS &amp;</v>
      </c>
      <c r="E248" t="s">
        <v>14</v>
      </c>
      <c r="F248" s="4">
        <v>45926</v>
      </c>
      <c r="G248" s="4">
        <v>45926</v>
      </c>
      <c r="H248" s="5">
        <v>224328</v>
      </c>
      <c r="I248" t="s">
        <v>155</v>
      </c>
      <c r="J248">
        <v>1800034500</v>
      </c>
      <c r="K248" t="s">
        <v>155</v>
      </c>
      <c r="L248" s="5">
        <v>224328</v>
      </c>
      <c r="M248" t="s">
        <v>69</v>
      </c>
      <c r="N248" t="s">
        <v>21</v>
      </c>
      <c r="O248" s="6">
        <v>33</v>
      </c>
    </row>
    <row r="249" spans="1:15" x14ac:dyDescent="0.3">
      <c r="B249" t="s">
        <v>24</v>
      </c>
      <c r="C249">
        <v>201271</v>
      </c>
      <c r="D249" t="str">
        <f>VLOOKUP(C249,'[1]CLIENTES '!C:D,2,FALSE)</f>
        <v>PEPSICO STRAUSS FRESH DIPS &amp;</v>
      </c>
      <c r="E249" t="s">
        <v>24</v>
      </c>
      <c r="F249" s="4"/>
      <c r="G249" s="4"/>
      <c r="H249" s="5">
        <v>-215265</v>
      </c>
      <c r="I249" t="s">
        <v>24</v>
      </c>
      <c r="K249" t="s">
        <v>24</v>
      </c>
      <c r="L249" s="5">
        <v>-215265</v>
      </c>
      <c r="M249" t="s">
        <v>24</v>
      </c>
      <c r="N249" t="s">
        <v>24</v>
      </c>
      <c r="O249" s="6"/>
    </row>
    <row r="250" spans="1:15" x14ac:dyDescent="0.3">
      <c r="A250" s="3">
        <v>1600014500</v>
      </c>
      <c r="B250" t="s">
        <v>156</v>
      </c>
      <c r="C250">
        <v>200077</v>
      </c>
      <c r="D250" t="str">
        <f>VLOOKUP(C250,'[1]CLIENTES '!C:D,2,FALSE)</f>
        <v>CORPORATIVO INTERNACIONAL MEXICANO</v>
      </c>
      <c r="E250" t="s">
        <v>14</v>
      </c>
      <c r="F250" s="4">
        <v>45961</v>
      </c>
      <c r="G250" s="4">
        <v>45961</v>
      </c>
      <c r="H250" s="5">
        <v>-4790125.04</v>
      </c>
      <c r="I250" t="s">
        <v>157</v>
      </c>
      <c r="J250">
        <v>1600014500</v>
      </c>
      <c r="K250" t="s">
        <v>157</v>
      </c>
      <c r="L250" s="5">
        <v>-4790125.04</v>
      </c>
      <c r="M250" t="s">
        <v>158</v>
      </c>
      <c r="N250" t="s">
        <v>17</v>
      </c>
      <c r="O250" s="6">
        <v>0</v>
      </c>
    </row>
    <row r="251" spans="1:15" x14ac:dyDescent="0.3">
      <c r="A251" s="3">
        <v>1600015000</v>
      </c>
      <c r="B251" t="s">
        <v>156</v>
      </c>
      <c r="C251">
        <v>200077</v>
      </c>
      <c r="D251" t="str">
        <f>VLOOKUP(C251,'[1]CLIENTES '!C:D,2,FALSE)</f>
        <v>CORPORATIVO INTERNACIONAL MEXICANO</v>
      </c>
      <c r="E251" t="s">
        <v>14</v>
      </c>
      <c r="F251" s="4">
        <v>45961</v>
      </c>
      <c r="G251" s="4">
        <v>45961</v>
      </c>
      <c r="H251" s="5">
        <v>4790125.04</v>
      </c>
      <c r="I251" t="s">
        <v>157</v>
      </c>
      <c r="J251">
        <v>1600015000</v>
      </c>
      <c r="K251" t="s">
        <v>157</v>
      </c>
      <c r="L251" s="5">
        <v>4790125.04</v>
      </c>
      <c r="M251" t="s">
        <v>158</v>
      </c>
      <c r="N251" t="s">
        <v>18</v>
      </c>
      <c r="O251" s="6">
        <v>0</v>
      </c>
    </row>
    <row r="252" spans="1:15" x14ac:dyDescent="0.3">
      <c r="A252" s="3">
        <v>1600007001</v>
      </c>
      <c r="B252" t="s">
        <v>156</v>
      </c>
      <c r="C252">
        <v>200077</v>
      </c>
      <c r="D252" t="str">
        <f>VLOOKUP(C252,'[1]CLIENTES '!C:D,2,FALSE)</f>
        <v>CORPORATIVO INTERNACIONAL MEXICANO</v>
      </c>
      <c r="E252" t="s">
        <v>14</v>
      </c>
      <c r="F252" s="4">
        <v>45961</v>
      </c>
      <c r="G252" s="4">
        <v>45961</v>
      </c>
      <c r="H252" s="5">
        <v>-3894393.23</v>
      </c>
      <c r="I252" t="s">
        <v>159</v>
      </c>
      <c r="J252">
        <v>1600007001</v>
      </c>
      <c r="K252" t="s">
        <v>159</v>
      </c>
      <c r="L252" s="5">
        <v>-3894393.23</v>
      </c>
      <c r="M252" t="s">
        <v>160</v>
      </c>
      <c r="N252" t="s">
        <v>17</v>
      </c>
      <c r="O252" s="6">
        <v>41</v>
      </c>
    </row>
    <row r="253" spans="1:15" x14ac:dyDescent="0.3">
      <c r="A253" s="3">
        <v>1800039000</v>
      </c>
      <c r="B253" t="s">
        <v>156</v>
      </c>
      <c r="C253">
        <v>200077</v>
      </c>
      <c r="D253" t="str">
        <f>VLOOKUP(C253,'[1]CLIENTES '!C:D,2,FALSE)</f>
        <v>CORPORATIVO INTERNACIONAL MEXICANO</v>
      </c>
      <c r="E253" t="s">
        <v>14</v>
      </c>
      <c r="F253" s="4">
        <v>45961</v>
      </c>
      <c r="G253" s="4">
        <v>45961</v>
      </c>
      <c r="H253" s="5">
        <v>2529595.14</v>
      </c>
      <c r="I253" t="s">
        <v>161</v>
      </c>
      <c r="J253">
        <v>1800039000</v>
      </c>
      <c r="K253" t="s">
        <v>161</v>
      </c>
      <c r="L253" s="5">
        <v>2529595.14</v>
      </c>
      <c r="M253" t="s">
        <v>162</v>
      </c>
      <c r="N253" t="s">
        <v>21</v>
      </c>
      <c r="O253" s="6">
        <v>41</v>
      </c>
    </row>
    <row r="254" spans="1:15" x14ac:dyDescent="0.3">
      <c r="A254" s="3">
        <v>1800039500</v>
      </c>
      <c r="B254" t="s">
        <v>156</v>
      </c>
      <c r="C254">
        <v>200077</v>
      </c>
      <c r="D254" t="str">
        <f>VLOOKUP(C254,'[1]CLIENTES '!C:D,2,FALSE)</f>
        <v>CORPORATIVO INTERNACIONAL MEXICANO</v>
      </c>
      <c r="E254" t="s">
        <v>14</v>
      </c>
      <c r="F254" s="4">
        <v>45961</v>
      </c>
      <c r="G254" s="4">
        <v>45961</v>
      </c>
      <c r="H254" s="5">
        <v>4790125.04</v>
      </c>
      <c r="I254" t="s">
        <v>157</v>
      </c>
      <c r="J254">
        <v>1800039500</v>
      </c>
      <c r="K254" t="s">
        <v>157</v>
      </c>
      <c r="L254" s="5">
        <v>4790125.04</v>
      </c>
      <c r="M254" t="s">
        <v>158</v>
      </c>
      <c r="N254" t="s">
        <v>21</v>
      </c>
      <c r="O254" s="6">
        <v>41</v>
      </c>
    </row>
    <row r="255" spans="1:15" x14ac:dyDescent="0.3">
      <c r="B255" t="s">
        <v>24</v>
      </c>
      <c r="C255">
        <v>200077</v>
      </c>
      <c r="D255" t="str">
        <f>VLOOKUP(C255,'[1]CLIENTES '!C:D,2,FALSE)</f>
        <v>CORPORATIVO INTERNACIONAL MEXICANO</v>
      </c>
      <c r="E255" t="s">
        <v>24</v>
      </c>
      <c r="F255" s="4"/>
      <c r="G255" s="4"/>
      <c r="H255" s="5">
        <v>3425326.95</v>
      </c>
      <c r="I255" t="s">
        <v>24</v>
      </c>
      <c r="K255" t="s">
        <v>24</v>
      </c>
      <c r="L255" s="5">
        <v>3425326.95</v>
      </c>
      <c r="M255" t="s">
        <v>24</v>
      </c>
      <c r="N255" t="s">
        <v>24</v>
      </c>
      <c r="O255" s="6"/>
    </row>
    <row r="256" spans="1:15" x14ac:dyDescent="0.3">
      <c r="A256" s="3">
        <v>1400023001</v>
      </c>
      <c r="B256" t="s">
        <v>156</v>
      </c>
      <c r="C256">
        <v>200093</v>
      </c>
      <c r="D256" t="str">
        <f>VLOOKUP(C256,'[1]CLIENTES '!C:D,2,FALSE)</f>
        <v>SABRITAS</v>
      </c>
      <c r="E256" t="s">
        <v>14</v>
      </c>
      <c r="F256" s="4">
        <v>45944</v>
      </c>
      <c r="G256" s="4">
        <v>45944</v>
      </c>
      <c r="H256" s="5">
        <v>-1425623</v>
      </c>
      <c r="I256" t="s">
        <v>153</v>
      </c>
      <c r="J256">
        <v>1400023001</v>
      </c>
      <c r="K256" t="s">
        <v>153</v>
      </c>
      <c r="L256" s="5">
        <v>-1425623</v>
      </c>
      <c r="M256" t="s">
        <v>26</v>
      </c>
      <c r="N256" t="s">
        <v>27</v>
      </c>
      <c r="O256" s="6">
        <v>18</v>
      </c>
    </row>
    <row r="257" spans="1:15" x14ac:dyDescent="0.3">
      <c r="A257" s="3">
        <v>1400022501</v>
      </c>
      <c r="B257" t="s">
        <v>156</v>
      </c>
      <c r="C257">
        <v>200093</v>
      </c>
      <c r="D257" t="str">
        <f>VLOOKUP(C257,'[1]CLIENTES '!C:D,2,FALSE)</f>
        <v>SABRITAS</v>
      </c>
      <c r="E257" t="s">
        <v>14</v>
      </c>
      <c r="F257" s="4">
        <v>45944</v>
      </c>
      <c r="G257" s="4">
        <v>45944</v>
      </c>
      <c r="H257" s="5">
        <v>-1208424</v>
      </c>
      <c r="I257" t="s">
        <v>152</v>
      </c>
      <c r="J257">
        <v>1400022501</v>
      </c>
      <c r="K257" t="s">
        <v>152</v>
      </c>
      <c r="L257" s="5">
        <v>-1208424</v>
      </c>
      <c r="M257" t="s">
        <v>26</v>
      </c>
      <c r="N257" t="s">
        <v>27</v>
      </c>
      <c r="O257" s="6">
        <v>18</v>
      </c>
    </row>
    <row r="258" spans="1:15" x14ac:dyDescent="0.3">
      <c r="A258" s="3">
        <v>1400023000</v>
      </c>
      <c r="B258" t="s">
        <v>156</v>
      </c>
      <c r="C258">
        <v>200093</v>
      </c>
      <c r="D258" t="str">
        <f>VLOOKUP(C258,'[1]CLIENTES '!C:D,2,FALSE)</f>
        <v>SABRITAS</v>
      </c>
      <c r="E258" t="s">
        <v>14</v>
      </c>
      <c r="F258" s="4">
        <v>45944</v>
      </c>
      <c r="G258" s="4">
        <v>45944</v>
      </c>
      <c r="H258" s="5">
        <v>-575445</v>
      </c>
      <c r="I258" t="s">
        <v>151</v>
      </c>
      <c r="J258">
        <v>1400023000</v>
      </c>
      <c r="K258" t="s">
        <v>151</v>
      </c>
      <c r="L258" s="5">
        <v>-575445</v>
      </c>
      <c r="M258" t="s">
        <v>26</v>
      </c>
      <c r="N258" t="s">
        <v>27</v>
      </c>
      <c r="O258" s="6">
        <v>18</v>
      </c>
    </row>
    <row r="259" spans="1:15" x14ac:dyDescent="0.3">
      <c r="A259" s="3">
        <v>1400023500</v>
      </c>
      <c r="B259" t="s">
        <v>156</v>
      </c>
      <c r="C259">
        <v>200093</v>
      </c>
      <c r="D259" t="str">
        <f>VLOOKUP(C259,'[1]CLIENTES '!C:D,2,FALSE)</f>
        <v>SABRITAS</v>
      </c>
      <c r="E259" t="s">
        <v>14</v>
      </c>
      <c r="F259" s="4">
        <v>45944</v>
      </c>
      <c r="G259" s="4">
        <v>45944</v>
      </c>
      <c r="H259" s="5">
        <v>-427547</v>
      </c>
      <c r="I259" t="s">
        <v>150</v>
      </c>
      <c r="J259">
        <v>1400023500</v>
      </c>
      <c r="K259" t="s">
        <v>150</v>
      </c>
      <c r="L259" s="5">
        <v>-427547</v>
      </c>
      <c r="M259" t="s">
        <v>26</v>
      </c>
      <c r="N259" t="s">
        <v>27</v>
      </c>
      <c r="O259" s="6">
        <v>18</v>
      </c>
    </row>
    <row r="260" spans="1:15" x14ac:dyDescent="0.3">
      <c r="A260" s="3">
        <v>100175001</v>
      </c>
      <c r="B260" t="s">
        <v>156</v>
      </c>
      <c r="C260">
        <v>200093</v>
      </c>
      <c r="D260" t="str">
        <f>VLOOKUP(C260,'[1]CLIENTES '!C:D,2,FALSE)</f>
        <v>SABRITAS</v>
      </c>
      <c r="E260" t="s">
        <v>14</v>
      </c>
      <c r="F260" s="4">
        <v>45944</v>
      </c>
      <c r="G260" s="4">
        <v>45944</v>
      </c>
      <c r="H260" s="5">
        <v>0</v>
      </c>
      <c r="I260" t="s">
        <v>24</v>
      </c>
      <c r="J260">
        <v>100175001</v>
      </c>
      <c r="K260" t="s">
        <v>24</v>
      </c>
      <c r="L260" s="5">
        <v>0</v>
      </c>
      <c r="M260" t="s">
        <v>24</v>
      </c>
      <c r="N260" t="s">
        <v>31</v>
      </c>
      <c r="O260" s="6">
        <v>0</v>
      </c>
    </row>
    <row r="261" spans="1:15" x14ac:dyDescent="0.3">
      <c r="A261" s="3">
        <v>100175000</v>
      </c>
      <c r="B261" t="s">
        <v>156</v>
      </c>
      <c r="C261">
        <v>200093</v>
      </c>
      <c r="D261" t="str">
        <f>VLOOKUP(C261,'[1]CLIENTES '!C:D,2,FALSE)</f>
        <v>SABRITAS</v>
      </c>
      <c r="E261" t="s">
        <v>14</v>
      </c>
      <c r="F261" s="4">
        <v>45944</v>
      </c>
      <c r="G261" s="4">
        <v>45944</v>
      </c>
      <c r="H261" s="5">
        <v>0</v>
      </c>
      <c r="I261" t="s">
        <v>24</v>
      </c>
      <c r="J261">
        <v>100175000</v>
      </c>
      <c r="K261" t="s">
        <v>24</v>
      </c>
      <c r="L261" s="5">
        <v>0</v>
      </c>
      <c r="M261" t="s">
        <v>24</v>
      </c>
      <c r="N261" t="s">
        <v>31</v>
      </c>
      <c r="O261" s="6">
        <v>0</v>
      </c>
    </row>
    <row r="262" spans="1:15" x14ac:dyDescent="0.3">
      <c r="A262" s="3">
        <v>100174500</v>
      </c>
      <c r="B262" t="s">
        <v>156</v>
      </c>
      <c r="C262">
        <v>200093</v>
      </c>
      <c r="D262" t="str">
        <f>VLOOKUP(C262,'[1]CLIENTES '!C:D,2,FALSE)</f>
        <v>SABRITAS</v>
      </c>
      <c r="E262" t="s">
        <v>14</v>
      </c>
      <c r="F262" s="4">
        <v>45944</v>
      </c>
      <c r="G262" s="4">
        <v>45944</v>
      </c>
      <c r="H262" s="5">
        <v>0</v>
      </c>
      <c r="I262" t="s">
        <v>24</v>
      </c>
      <c r="J262">
        <v>100174500</v>
      </c>
      <c r="K262" t="s">
        <v>24</v>
      </c>
      <c r="L262" s="5">
        <v>0</v>
      </c>
      <c r="M262" t="s">
        <v>24</v>
      </c>
      <c r="N262" t="s">
        <v>31</v>
      </c>
      <c r="O262" s="6">
        <v>0</v>
      </c>
    </row>
    <row r="263" spans="1:15" x14ac:dyDescent="0.3">
      <c r="A263" s="3">
        <v>100175500</v>
      </c>
      <c r="B263" t="s">
        <v>156</v>
      </c>
      <c r="C263">
        <v>200093</v>
      </c>
      <c r="D263" t="str">
        <f>VLOOKUP(C263,'[1]CLIENTES '!C:D,2,FALSE)</f>
        <v>SABRITAS</v>
      </c>
      <c r="E263" t="s">
        <v>14</v>
      </c>
      <c r="F263" s="4">
        <v>45944</v>
      </c>
      <c r="G263" s="4">
        <v>45944</v>
      </c>
      <c r="H263" s="5">
        <v>0</v>
      </c>
      <c r="I263" t="s">
        <v>24</v>
      </c>
      <c r="J263">
        <v>100175500</v>
      </c>
      <c r="K263" t="s">
        <v>24</v>
      </c>
      <c r="L263" s="5">
        <v>0</v>
      </c>
      <c r="M263" t="s">
        <v>24</v>
      </c>
      <c r="N263" t="s">
        <v>31</v>
      </c>
      <c r="O263" s="6">
        <v>0</v>
      </c>
    </row>
    <row r="264" spans="1:15" x14ac:dyDescent="0.3">
      <c r="A264" s="3">
        <v>1800038000</v>
      </c>
      <c r="B264" t="s">
        <v>156</v>
      </c>
      <c r="C264">
        <v>200093</v>
      </c>
      <c r="D264" t="str">
        <f>VLOOKUP(C264,'[1]CLIENTES '!C:D,2,FALSE)</f>
        <v>SABRITAS</v>
      </c>
      <c r="E264" t="s">
        <v>14</v>
      </c>
      <c r="F264" s="4">
        <v>45954</v>
      </c>
      <c r="G264" s="4">
        <v>45954</v>
      </c>
      <c r="H264" s="5">
        <v>427547</v>
      </c>
      <c r="I264" t="s">
        <v>163</v>
      </c>
      <c r="J264">
        <v>1800038000</v>
      </c>
      <c r="K264" t="s">
        <v>163</v>
      </c>
      <c r="L264" s="5">
        <v>427547</v>
      </c>
      <c r="M264" t="s">
        <v>33</v>
      </c>
      <c r="N264" t="s">
        <v>21</v>
      </c>
      <c r="O264" s="6">
        <v>26</v>
      </c>
    </row>
    <row r="265" spans="1:15" x14ac:dyDescent="0.3">
      <c r="A265" s="3">
        <v>1800037500</v>
      </c>
      <c r="B265" t="s">
        <v>156</v>
      </c>
      <c r="C265">
        <v>200093</v>
      </c>
      <c r="D265" t="str">
        <f>VLOOKUP(C265,'[1]CLIENTES '!C:D,2,FALSE)</f>
        <v>SABRITAS</v>
      </c>
      <c r="E265" t="s">
        <v>14</v>
      </c>
      <c r="F265" s="4">
        <v>45954</v>
      </c>
      <c r="G265" s="4">
        <v>45954</v>
      </c>
      <c r="H265" s="5">
        <v>575445</v>
      </c>
      <c r="I265" t="s">
        <v>164</v>
      </c>
      <c r="J265">
        <v>1800037500</v>
      </c>
      <c r="K265" t="s">
        <v>164</v>
      </c>
      <c r="L265" s="5">
        <v>575445</v>
      </c>
      <c r="M265" t="s">
        <v>35</v>
      </c>
      <c r="N265" t="s">
        <v>21</v>
      </c>
      <c r="O265" s="6">
        <v>26</v>
      </c>
    </row>
    <row r="266" spans="1:15" x14ac:dyDescent="0.3">
      <c r="A266" s="3">
        <v>1800023001</v>
      </c>
      <c r="B266" t="s">
        <v>156</v>
      </c>
      <c r="C266">
        <v>200093</v>
      </c>
      <c r="D266" t="str">
        <f>VLOOKUP(C266,'[1]CLIENTES '!C:D,2,FALSE)</f>
        <v>SABRITAS</v>
      </c>
      <c r="E266" t="s">
        <v>14</v>
      </c>
      <c r="F266" s="4">
        <v>45954</v>
      </c>
      <c r="G266" s="4">
        <v>45954</v>
      </c>
      <c r="H266" s="5">
        <v>1208424</v>
      </c>
      <c r="I266" t="s">
        <v>165</v>
      </c>
      <c r="J266">
        <v>1800023001</v>
      </c>
      <c r="K266" t="s">
        <v>165</v>
      </c>
      <c r="L266" s="5">
        <v>1208424</v>
      </c>
      <c r="M266" t="s">
        <v>37</v>
      </c>
      <c r="N266" t="s">
        <v>21</v>
      </c>
      <c r="O266" s="6">
        <v>26</v>
      </c>
    </row>
    <row r="267" spans="1:15" x14ac:dyDescent="0.3">
      <c r="A267" s="3">
        <v>1800038500</v>
      </c>
      <c r="B267" t="s">
        <v>156</v>
      </c>
      <c r="C267">
        <v>200093</v>
      </c>
      <c r="D267" t="str">
        <f>VLOOKUP(C267,'[1]CLIENTES '!C:D,2,FALSE)</f>
        <v>SABRITAS</v>
      </c>
      <c r="E267" t="s">
        <v>14</v>
      </c>
      <c r="F267" s="4">
        <v>45954</v>
      </c>
      <c r="G267" s="4">
        <v>45954</v>
      </c>
      <c r="H267" s="5">
        <v>1425623</v>
      </c>
      <c r="I267" t="s">
        <v>166</v>
      </c>
      <c r="J267">
        <v>1800038500</v>
      </c>
      <c r="K267" t="s">
        <v>166</v>
      </c>
      <c r="L267" s="5">
        <v>1425623</v>
      </c>
      <c r="M267" t="s">
        <v>39</v>
      </c>
      <c r="N267" t="s">
        <v>21</v>
      </c>
      <c r="O267" s="6">
        <v>26</v>
      </c>
    </row>
    <row r="268" spans="1:15" x14ac:dyDescent="0.3">
      <c r="B268" t="s">
        <v>24</v>
      </c>
      <c r="C268">
        <v>200093</v>
      </c>
      <c r="D268" t="str">
        <f>VLOOKUP(C268,'[1]CLIENTES '!C:D,2,FALSE)</f>
        <v>SABRITAS</v>
      </c>
      <c r="E268" t="s">
        <v>24</v>
      </c>
      <c r="F268" s="4"/>
      <c r="G268" s="4"/>
      <c r="H268" s="5">
        <v>0</v>
      </c>
      <c r="I268" t="s">
        <v>24</v>
      </c>
      <c r="K268" t="s">
        <v>24</v>
      </c>
      <c r="L268" s="5">
        <v>0</v>
      </c>
      <c r="M268" t="s">
        <v>24</v>
      </c>
      <c r="N268" t="s">
        <v>24</v>
      </c>
      <c r="O268" s="6"/>
    </row>
    <row r="269" spans="1:15" x14ac:dyDescent="0.3">
      <c r="A269" s="3">
        <v>1400024000</v>
      </c>
      <c r="B269" t="s">
        <v>156</v>
      </c>
      <c r="C269">
        <v>200841</v>
      </c>
      <c r="D269" t="str">
        <f>VLOOKUP(C269,'[1]CLIENTES '!C:D,2,FALSE)</f>
        <v>COMERCIALIZADORA PEPSICO MEXICO</v>
      </c>
      <c r="E269" t="s">
        <v>14</v>
      </c>
      <c r="F269" s="4">
        <v>45944</v>
      </c>
      <c r="G269" s="4">
        <v>45944</v>
      </c>
      <c r="H269" s="5">
        <v>-691689</v>
      </c>
      <c r="I269" t="s">
        <v>154</v>
      </c>
      <c r="J269">
        <v>1400024000</v>
      </c>
      <c r="K269" t="s">
        <v>154</v>
      </c>
      <c r="L269" s="5">
        <v>-691689</v>
      </c>
      <c r="M269" t="s">
        <v>26</v>
      </c>
      <c r="N269" t="s">
        <v>27</v>
      </c>
      <c r="O269" s="6">
        <v>18</v>
      </c>
    </row>
    <row r="270" spans="1:15" x14ac:dyDescent="0.3">
      <c r="A270" s="3">
        <v>100176000</v>
      </c>
      <c r="B270" t="s">
        <v>156</v>
      </c>
      <c r="C270">
        <v>200841</v>
      </c>
      <c r="D270" t="str">
        <f>VLOOKUP(C270,'[1]CLIENTES '!C:D,2,FALSE)</f>
        <v>COMERCIALIZADORA PEPSICO MEXICO</v>
      </c>
      <c r="E270" t="s">
        <v>14</v>
      </c>
      <c r="F270" s="4">
        <v>45944</v>
      </c>
      <c r="G270" s="4">
        <v>45944</v>
      </c>
      <c r="H270" s="5">
        <v>0</v>
      </c>
      <c r="I270" t="s">
        <v>24</v>
      </c>
      <c r="J270">
        <v>100176000</v>
      </c>
      <c r="K270" t="s">
        <v>24</v>
      </c>
      <c r="L270" s="5">
        <v>0</v>
      </c>
      <c r="M270" t="s">
        <v>24</v>
      </c>
      <c r="N270" t="s">
        <v>31</v>
      </c>
      <c r="O270" s="6">
        <v>0</v>
      </c>
    </row>
    <row r="271" spans="1:15" x14ac:dyDescent="0.3">
      <c r="A271" s="3">
        <v>1800021501</v>
      </c>
      <c r="B271" t="s">
        <v>156</v>
      </c>
      <c r="C271">
        <v>200841</v>
      </c>
      <c r="D271" t="str">
        <f>VLOOKUP(C271,'[1]CLIENTES '!C:D,2,FALSE)</f>
        <v>COMERCIALIZADORA PEPSICO MEXICO</v>
      </c>
      <c r="E271" t="s">
        <v>14</v>
      </c>
      <c r="F271" s="4">
        <v>45954</v>
      </c>
      <c r="G271" s="4">
        <v>45954</v>
      </c>
      <c r="H271" s="5">
        <v>691689</v>
      </c>
      <c r="I271" t="s">
        <v>167</v>
      </c>
      <c r="J271">
        <v>1800021501</v>
      </c>
      <c r="K271" t="s">
        <v>167</v>
      </c>
      <c r="L271" s="5">
        <v>691689</v>
      </c>
      <c r="M271" t="s">
        <v>42</v>
      </c>
      <c r="N271" t="s">
        <v>21</v>
      </c>
      <c r="O271" s="6">
        <v>32</v>
      </c>
    </row>
    <row r="272" spans="1:15" x14ac:dyDescent="0.3">
      <c r="B272" t="s">
        <v>24</v>
      </c>
      <c r="C272">
        <v>200841</v>
      </c>
      <c r="D272" t="str">
        <f>VLOOKUP(C272,'[1]CLIENTES '!C:D,2,FALSE)</f>
        <v>COMERCIALIZADORA PEPSICO MEXICO</v>
      </c>
      <c r="E272" t="s">
        <v>24</v>
      </c>
      <c r="F272" s="4"/>
      <c r="G272" s="4"/>
      <c r="H272" s="5">
        <v>0</v>
      </c>
      <c r="I272" t="s">
        <v>24</v>
      </c>
      <c r="K272" t="s">
        <v>24</v>
      </c>
      <c r="L272" s="5">
        <v>0</v>
      </c>
      <c r="M272" t="s">
        <v>24</v>
      </c>
      <c r="N272" t="s">
        <v>24</v>
      </c>
      <c r="O272" s="6"/>
    </row>
    <row r="273" spans="1:15" x14ac:dyDescent="0.3">
      <c r="A273" s="3">
        <v>1400024500</v>
      </c>
      <c r="B273" t="s">
        <v>156</v>
      </c>
      <c r="C273">
        <v>201271</v>
      </c>
      <c r="D273" t="str">
        <f>VLOOKUP(C273,'[1]CLIENTES '!C:D,2,FALSE)</f>
        <v>PEPSICO STRAUSS FRESH DIPS &amp;</v>
      </c>
      <c r="E273" t="s">
        <v>14</v>
      </c>
      <c r="F273" s="4">
        <v>45954</v>
      </c>
      <c r="G273" s="4">
        <v>45954</v>
      </c>
      <c r="H273" s="5">
        <v>-224328</v>
      </c>
      <c r="I273" t="s">
        <v>114</v>
      </c>
      <c r="J273">
        <v>1400024500</v>
      </c>
      <c r="K273" t="s">
        <v>114</v>
      </c>
      <c r="L273" s="5">
        <v>-224328</v>
      </c>
      <c r="M273" t="s">
        <v>26</v>
      </c>
      <c r="N273" t="s">
        <v>27</v>
      </c>
      <c r="O273" s="6">
        <v>0</v>
      </c>
    </row>
    <row r="274" spans="1:15" x14ac:dyDescent="0.3">
      <c r="A274" s="3">
        <v>1400025000</v>
      </c>
      <c r="B274" t="s">
        <v>156</v>
      </c>
      <c r="C274">
        <v>201271</v>
      </c>
      <c r="D274" t="str">
        <f>VLOOKUP(C274,'[1]CLIENTES '!C:D,2,FALSE)</f>
        <v>PEPSICO STRAUSS FRESH DIPS &amp;</v>
      </c>
      <c r="E274" t="s">
        <v>14</v>
      </c>
      <c r="F274" s="4">
        <v>45954</v>
      </c>
      <c r="G274" s="4">
        <v>45954</v>
      </c>
      <c r="H274" s="5">
        <v>-224328</v>
      </c>
      <c r="I274" t="s">
        <v>129</v>
      </c>
      <c r="J274">
        <v>1400025000</v>
      </c>
      <c r="K274" t="s">
        <v>129</v>
      </c>
      <c r="L274" s="5">
        <v>-224328</v>
      </c>
      <c r="M274" t="s">
        <v>26</v>
      </c>
      <c r="N274" t="s">
        <v>27</v>
      </c>
      <c r="O274" s="6">
        <v>0</v>
      </c>
    </row>
    <row r="275" spans="1:15" x14ac:dyDescent="0.3">
      <c r="A275" s="3">
        <v>100172500</v>
      </c>
      <c r="B275" t="s">
        <v>156</v>
      </c>
      <c r="C275">
        <v>201271</v>
      </c>
      <c r="D275" t="str">
        <f>VLOOKUP(C275,'[1]CLIENTES '!C:D,2,FALSE)</f>
        <v>PEPSICO STRAUSS FRESH DIPS &amp;</v>
      </c>
      <c r="E275" t="s">
        <v>14</v>
      </c>
      <c r="F275" s="4">
        <v>45931</v>
      </c>
      <c r="G275" s="4">
        <v>45931</v>
      </c>
      <c r="H275" s="5">
        <v>0</v>
      </c>
      <c r="I275" t="s">
        <v>24</v>
      </c>
      <c r="J275">
        <v>100172500</v>
      </c>
      <c r="K275" t="s">
        <v>24</v>
      </c>
      <c r="L275" s="5">
        <v>0</v>
      </c>
      <c r="M275" t="s">
        <v>24</v>
      </c>
      <c r="N275" t="s">
        <v>31</v>
      </c>
      <c r="O275" s="6">
        <v>0</v>
      </c>
    </row>
    <row r="276" spans="1:15" x14ac:dyDescent="0.3">
      <c r="A276" s="3">
        <v>100173000</v>
      </c>
      <c r="B276" t="s">
        <v>156</v>
      </c>
      <c r="C276">
        <v>201271</v>
      </c>
      <c r="D276" t="str">
        <f>VLOOKUP(C276,'[1]CLIENTES '!C:D,2,FALSE)</f>
        <v>PEPSICO STRAUSS FRESH DIPS &amp;</v>
      </c>
      <c r="E276" t="s">
        <v>14</v>
      </c>
      <c r="F276" s="4">
        <v>45931</v>
      </c>
      <c r="G276" s="4">
        <v>45931</v>
      </c>
      <c r="H276" s="5">
        <v>0</v>
      </c>
      <c r="I276" t="s">
        <v>24</v>
      </c>
      <c r="J276">
        <v>100173000</v>
      </c>
      <c r="K276" t="s">
        <v>24</v>
      </c>
      <c r="L276" s="5">
        <v>0</v>
      </c>
      <c r="M276" t="s">
        <v>24</v>
      </c>
      <c r="N276" t="s">
        <v>31</v>
      </c>
      <c r="O276" s="6">
        <v>0</v>
      </c>
    </row>
    <row r="277" spans="1:15" x14ac:dyDescent="0.3">
      <c r="A277" s="3">
        <v>100180500</v>
      </c>
      <c r="B277" t="s">
        <v>156</v>
      </c>
      <c r="C277">
        <v>201271</v>
      </c>
      <c r="D277" t="str">
        <f>VLOOKUP(C277,'[1]CLIENTES '!C:D,2,FALSE)</f>
        <v>PEPSICO STRAUSS FRESH DIPS &amp;</v>
      </c>
      <c r="E277" t="s">
        <v>14</v>
      </c>
      <c r="F277" s="4">
        <v>45954</v>
      </c>
      <c r="G277" s="4">
        <v>45954</v>
      </c>
      <c r="H277" s="5">
        <v>0</v>
      </c>
      <c r="I277" t="s">
        <v>24</v>
      </c>
      <c r="J277">
        <v>100180500</v>
      </c>
      <c r="K277" t="s">
        <v>24</v>
      </c>
      <c r="L277" s="5">
        <v>0</v>
      </c>
      <c r="M277" t="s">
        <v>24</v>
      </c>
      <c r="N277" t="s">
        <v>31</v>
      </c>
      <c r="O277" s="6">
        <v>0</v>
      </c>
    </row>
    <row r="278" spans="1:15" x14ac:dyDescent="0.3">
      <c r="A278" s="3">
        <v>100180501</v>
      </c>
      <c r="B278" t="s">
        <v>156</v>
      </c>
      <c r="C278">
        <v>201271</v>
      </c>
      <c r="D278" t="str">
        <f>VLOOKUP(C278,'[1]CLIENTES '!C:D,2,FALSE)</f>
        <v>PEPSICO STRAUSS FRESH DIPS &amp;</v>
      </c>
      <c r="E278" t="s">
        <v>14</v>
      </c>
      <c r="F278" s="4">
        <v>45954</v>
      </c>
      <c r="G278" s="4">
        <v>45954</v>
      </c>
      <c r="H278" s="5">
        <v>0</v>
      </c>
      <c r="I278" t="s">
        <v>24</v>
      </c>
      <c r="J278">
        <v>100180501</v>
      </c>
      <c r="K278" t="s">
        <v>24</v>
      </c>
      <c r="L278" s="5">
        <v>0</v>
      </c>
      <c r="M278" t="s">
        <v>24</v>
      </c>
      <c r="N278" t="s">
        <v>31</v>
      </c>
      <c r="O278" s="6">
        <v>0</v>
      </c>
    </row>
    <row r="279" spans="1:15" x14ac:dyDescent="0.3">
      <c r="A279" s="3">
        <v>1800037501</v>
      </c>
      <c r="B279" t="s">
        <v>156</v>
      </c>
      <c r="C279">
        <v>201271</v>
      </c>
      <c r="D279" t="str">
        <f>VLOOKUP(C279,'[1]CLIENTES '!C:D,2,FALSE)</f>
        <v>PEPSICO STRAUSS FRESH DIPS &amp;</v>
      </c>
      <c r="E279" t="s">
        <v>14</v>
      </c>
      <c r="F279" s="4">
        <v>45954</v>
      </c>
      <c r="G279" s="4">
        <v>45954</v>
      </c>
      <c r="H279" s="5">
        <v>224328</v>
      </c>
      <c r="I279" t="s">
        <v>168</v>
      </c>
      <c r="J279">
        <v>1800037501</v>
      </c>
      <c r="K279" t="s">
        <v>168</v>
      </c>
      <c r="L279" s="5">
        <v>224328</v>
      </c>
      <c r="M279" t="s">
        <v>69</v>
      </c>
      <c r="N279" t="s">
        <v>21</v>
      </c>
      <c r="O279" s="6">
        <v>18</v>
      </c>
    </row>
    <row r="280" spans="1:15" x14ac:dyDescent="0.3">
      <c r="B280" t="s">
        <v>24</v>
      </c>
      <c r="C280">
        <v>201271</v>
      </c>
      <c r="E280" t="s">
        <v>24</v>
      </c>
      <c r="F280" s="4"/>
      <c r="G280" s="4"/>
      <c r="H280" s="5">
        <v>-224328</v>
      </c>
      <c r="I280" t="s">
        <v>24</v>
      </c>
      <c r="K280" t="s">
        <v>24</v>
      </c>
      <c r="L280" s="5">
        <v>-224328</v>
      </c>
      <c r="M280" t="s">
        <v>24</v>
      </c>
      <c r="N280" t="s">
        <v>24</v>
      </c>
      <c r="O280" s="6"/>
    </row>
    <row r="281" spans="1:15" x14ac:dyDescent="0.3">
      <c r="B281" t="s">
        <v>24</v>
      </c>
      <c r="E281" t="s">
        <v>24</v>
      </c>
      <c r="F281" s="4"/>
      <c r="G281" s="4"/>
      <c r="H281" s="5">
        <v>33516923.23</v>
      </c>
      <c r="I281" t="s">
        <v>24</v>
      </c>
      <c r="K281" t="s">
        <v>24</v>
      </c>
      <c r="L281" s="5">
        <v>33516923.23</v>
      </c>
      <c r="M281" t="s">
        <v>24</v>
      </c>
      <c r="N281" t="s">
        <v>24</v>
      </c>
      <c r="O281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FBL5N</vt:lpstr>
    </vt:vector>
  </TitlesOfParts>
  <Company>PepsiCo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JESUS {PEP}</dc:creator>
  <cp:lastModifiedBy>RODRIGUEZ, JESUS {PEP}</cp:lastModifiedBy>
  <dcterms:created xsi:type="dcterms:W3CDTF">2026-01-19T19:21:35Z</dcterms:created>
  <dcterms:modified xsi:type="dcterms:W3CDTF">2026-01-19T21:48:56Z</dcterms:modified>
</cp:coreProperties>
</file>